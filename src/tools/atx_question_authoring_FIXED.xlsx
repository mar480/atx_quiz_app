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1276" documentId="11_1A3CAAE0EE81980AE886C8AC59EAF3A67F286A16" xr6:coauthVersionLast="47" xr6:coauthVersionMax="47" xr10:uidLastSave="{98590669-17F7-4EE2-AA48-E8D7A7F56DAE}"/>
  <bookViews>
    <workbookView xWindow="-108" yWindow="-108" windowWidth="23256" windowHeight="13896" firstSheet="1" activeTab="2"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8" i="3" l="1"/>
  <c r="M69" i="3"/>
  <c r="M70" i="3"/>
  <c r="M71" i="3"/>
  <c r="M72" i="3"/>
  <c r="M73" i="3"/>
  <c r="M74" i="3"/>
  <c r="M75" i="3"/>
  <c r="M76" i="3"/>
  <c r="M77" i="3"/>
  <c r="M78" i="3"/>
  <c r="N78" i="3"/>
  <c r="M79" i="3"/>
  <c r="N79" i="3" s="1"/>
  <c r="M80" i="3"/>
  <c r="N80" i="3" s="1"/>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N107" i="3" s="1"/>
  <c r="M108" i="3"/>
  <c r="M109" i="3"/>
  <c r="M110" i="3"/>
  <c r="M111" i="3"/>
  <c r="M112" i="3"/>
  <c r="M113" i="3"/>
  <c r="M114" i="3"/>
  <c r="M115" i="3"/>
  <c r="M116" i="3"/>
  <c r="M117" i="3"/>
  <c r="M118" i="3"/>
  <c r="M119" i="3"/>
  <c r="M120" i="3"/>
  <c r="M121" i="3"/>
  <c r="M122" i="3"/>
  <c r="M123" i="3"/>
  <c r="M48" i="5"/>
  <c r="M49" i="5"/>
  <c r="M50" i="5"/>
  <c r="M51" i="5"/>
  <c r="M52" i="5"/>
  <c r="M53" i="5"/>
  <c r="M54" i="5"/>
  <c r="M55" i="5"/>
  <c r="M56" i="5"/>
  <c r="M57" i="5"/>
  <c r="M43" i="5"/>
  <c r="M44" i="5"/>
  <c r="M45" i="5"/>
  <c r="M46" i="5"/>
  <c r="M4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39" i="5"/>
  <c r="I40" i="5"/>
  <c r="I41" i="5"/>
  <c r="I42" i="5"/>
  <c r="M34" i="5"/>
  <c r="M35" i="5"/>
  <c r="M36" i="5"/>
  <c r="M37" i="5"/>
  <c r="M38" i="5"/>
  <c r="M39" i="5"/>
  <c r="M40" i="5"/>
  <c r="M41" i="5"/>
  <c r="M42" i="5"/>
  <c r="M58" i="5"/>
  <c r="N58" i="5" s="1"/>
  <c r="M59" i="5"/>
  <c r="A59" i="5" s="1"/>
  <c r="M60" i="5"/>
  <c r="A60" i="5" s="1"/>
  <c r="M61" i="5"/>
  <c r="A61" i="5" s="1"/>
  <c r="M62" i="5"/>
  <c r="N62" i="5" s="1"/>
  <c r="M63" i="5"/>
  <c r="A63" i="5" s="1"/>
  <c r="M64" i="5"/>
  <c r="A64" i="5" s="1"/>
  <c r="M65" i="5"/>
  <c r="A65" i="5" s="1"/>
  <c r="M66" i="5"/>
  <c r="A66" i="5" s="1"/>
  <c r="M67" i="5"/>
  <c r="A67" i="5" s="1"/>
  <c r="M68" i="5"/>
  <c r="A68" i="5" s="1"/>
  <c r="M69" i="5"/>
  <c r="N69" i="5" s="1"/>
  <c r="M70" i="5"/>
  <c r="A70" i="5" s="1"/>
  <c r="M71" i="5"/>
  <c r="A71" i="5" s="1"/>
  <c r="M72" i="5"/>
  <c r="A72" i="5" s="1"/>
  <c r="M73" i="5"/>
  <c r="N73" i="5" s="1"/>
  <c r="M74" i="5"/>
  <c r="A74" i="5" s="1"/>
  <c r="N74" i="5"/>
  <c r="M75" i="5"/>
  <c r="N75" i="5" s="1"/>
  <c r="M76" i="5"/>
  <c r="N76" i="5" s="1"/>
  <c r="M77" i="5"/>
  <c r="A77" i="5" s="1"/>
  <c r="M78" i="5"/>
  <c r="A78" i="5" s="1"/>
  <c r="M79" i="5"/>
  <c r="A79" i="5" s="1"/>
  <c r="M80" i="5"/>
  <c r="A80" i="5" s="1"/>
  <c r="M81" i="5"/>
  <c r="N81" i="5" s="1"/>
  <c r="M82" i="5"/>
  <c r="N82" i="5" s="1"/>
  <c r="M83" i="5"/>
  <c r="N83" i="5" s="1"/>
  <c r="M84" i="5"/>
  <c r="A84" i="5" s="1"/>
  <c r="M85" i="5"/>
  <c r="A85" i="5" s="1"/>
  <c r="M86" i="5"/>
  <c r="A86" i="5" s="1"/>
  <c r="N86" i="5"/>
  <c r="M87" i="5"/>
  <c r="A87" i="5" s="1"/>
  <c r="M88" i="5"/>
  <c r="N88" i="5" s="1"/>
  <c r="M89" i="5"/>
  <c r="N89" i="5" s="1"/>
  <c r="M90" i="5"/>
  <c r="N90" i="5" s="1"/>
  <c r="M91" i="5"/>
  <c r="A91" i="5" s="1"/>
  <c r="M92" i="5"/>
  <c r="A92" i="5" s="1"/>
  <c r="M93" i="5"/>
  <c r="A93" i="5" s="1"/>
  <c r="M94" i="5"/>
  <c r="A94" i="5" s="1"/>
  <c r="M95" i="5"/>
  <c r="N95" i="5" s="1"/>
  <c r="M96" i="5"/>
  <c r="A96" i="5" s="1"/>
  <c r="M97" i="5"/>
  <c r="N97" i="5" s="1"/>
  <c r="M98" i="5"/>
  <c r="A98" i="5" s="1"/>
  <c r="M99" i="5"/>
  <c r="A99" i="5" s="1"/>
  <c r="M100" i="5"/>
  <c r="A100" i="5" s="1"/>
  <c r="M101" i="5"/>
  <c r="A101" i="5" s="1"/>
  <c r="M102" i="5"/>
  <c r="A102" i="5" s="1"/>
  <c r="M103" i="5"/>
  <c r="N103" i="5" s="1"/>
  <c r="M104" i="5"/>
  <c r="N104" i="5" s="1"/>
  <c r="M105" i="5"/>
  <c r="A105" i="5" s="1"/>
  <c r="M106" i="5"/>
  <c r="A106" i="5" s="1"/>
  <c r="M107" i="5"/>
  <c r="N107" i="5" s="1"/>
  <c r="M108" i="5"/>
  <c r="A108" i="5" s="1"/>
  <c r="M109" i="5"/>
  <c r="A109" i="5" s="1"/>
  <c r="M110" i="5"/>
  <c r="A110" i="5" s="1"/>
  <c r="M111" i="5"/>
  <c r="N111" i="5" s="1"/>
  <c r="M112" i="5"/>
  <c r="N112" i="5" s="1"/>
  <c r="M113" i="5"/>
  <c r="A113" i="5" s="1"/>
  <c r="M114" i="5"/>
  <c r="A114" i="5" s="1"/>
  <c r="M115" i="5"/>
  <c r="A115" i="5" s="1"/>
  <c r="M116" i="5"/>
  <c r="A116" i="5" s="1"/>
  <c r="M117" i="5"/>
  <c r="A117" i="5" s="1"/>
  <c r="M118" i="5"/>
  <c r="N118" i="5" s="1"/>
  <c r="M119" i="5"/>
  <c r="A119" i="5" s="1"/>
  <c r="M120" i="5"/>
  <c r="A120" i="5" s="1"/>
  <c r="M121" i="5"/>
  <c r="A121" i="5" s="1"/>
  <c r="M122" i="5"/>
  <c r="N122" i="5" s="1"/>
  <c r="M123" i="5"/>
  <c r="A123" i="5" s="1"/>
  <c r="M124" i="5"/>
  <c r="A124" i="5" s="1"/>
  <c r="M125" i="5"/>
  <c r="N125" i="5" s="1"/>
  <c r="M126" i="5"/>
  <c r="A126" i="5" s="1"/>
  <c r="M127" i="5"/>
  <c r="A127" i="5" s="1"/>
  <c r="M128" i="5"/>
  <c r="A128" i="5" s="1"/>
  <c r="M129" i="5"/>
  <c r="A129" i="5" s="1"/>
  <c r="M130" i="5"/>
  <c r="N130" i="5" s="1"/>
  <c r="M131" i="5"/>
  <c r="A131" i="5" s="1"/>
  <c r="M132" i="5"/>
  <c r="N132" i="5" s="1"/>
  <c r="M133" i="5"/>
  <c r="N133" i="5" s="1"/>
  <c r="M134" i="5"/>
  <c r="A134" i="5" s="1"/>
  <c r="M135" i="5"/>
  <c r="A135" i="5" s="1"/>
  <c r="M136" i="5"/>
  <c r="A136" i="5" s="1"/>
  <c r="M137" i="5"/>
  <c r="N137" i="5" s="1"/>
  <c r="M138" i="5"/>
  <c r="A138" i="5" s="1"/>
  <c r="M139" i="5"/>
  <c r="N139" i="5" s="1"/>
  <c r="M140" i="5"/>
  <c r="A140" i="5" s="1"/>
  <c r="M141" i="5"/>
  <c r="A141" i="5" s="1"/>
  <c r="M142" i="5"/>
  <c r="A142" i="5" s="1"/>
  <c r="M143" i="5"/>
  <c r="A143" i="5" s="1"/>
  <c r="M144" i="5"/>
  <c r="A144" i="5" s="1"/>
  <c r="M145" i="5"/>
  <c r="A145" i="5" s="1"/>
  <c r="M146" i="5"/>
  <c r="N146" i="5" s="1"/>
  <c r="M147" i="5"/>
  <c r="A147" i="5" s="1"/>
  <c r="M148" i="5"/>
  <c r="A148" i="5" s="1"/>
  <c r="M149" i="5"/>
  <c r="N149" i="5" s="1"/>
  <c r="M150" i="5"/>
  <c r="N150" i="5" s="1"/>
  <c r="M151" i="5"/>
  <c r="A151" i="5" s="1"/>
  <c r="M152" i="5"/>
  <c r="N152" i="5" s="1"/>
  <c r="M153" i="5"/>
  <c r="N153" i="5" s="1"/>
  <c r="M154" i="5"/>
  <c r="A154" i="5" s="1"/>
  <c r="M155" i="5"/>
  <c r="A155" i="5" s="1"/>
  <c r="M156" i="5"/>
  <c r="N156" i="5" s="1"/>
  <c r="M157" i="5"/>
  <c r="A157" i="5" s="1"/>
  <c r="M158" i="5"/>
  <c r="A158" i="5" s="1"/>
  <c r="N158" i="5"/>
  <c r="M159" i="5"/>
  <c r="A159" i="5" s="1"/>
  <c r="M160" i="5"/>
  <c r="N160" i="5" s="1"/>
  <c r="M161" i="5"/>
  <c r="A161" i="5" s="1"/>
  <c r="M162" i="5"/>
  <c r="A162" i="5" s="1"/>
  <c r="M163" i="5"/>
  <c r="A163" i="5" s="1"/>
  <c r="M164" i="5"/>
  <c r="N164" i="5" s="1"/>
  <c r="M165" i="5"/>
  <c r="N165" i="5" s="1"/>
  <c r="M166" i="5"/>
  <c r="A166" i="5" s="1"/>
  <c r="M167" i="5"/>
  <c r="N167" i="5" s="1"/>
  <c r="M168" i="5"/>
  <c r="A168" i="5" s="1"/>
  <c r="M169" i="5"/>
  <c r="A169" i="5" s="1"/>
  <c r="M170" i="5"/>
  <c r="A170" i="5" s="1"/>
  <c r="M171" i="5"/>
  <c r="N171" i="5" s="1"/>
  <c r="M172" i="5"/>
  <c r="N172" i="5" s="1"/>
  <c r="M173" i="5"/>
  <c r="A173" i="5" s="1"/>
  <c r="M174" i="5"/>
  <c r="N174" i="5" s="1"/>
  <c r="M175" i="5"/>
  <c r="N175" i="5" s="1"/>
  <c r="M176" i="5"/>
  <c r="A176" i="5" s="1"/>
  <c r="M177" i="5"/>
  <c r="A177" i="5" s="1"/>
  <c r="M178" i="5"/>
  <c r="A178" i="5" s="1"/>
  <c r="M179" i="5"/>
  <c r="A179" i="5" s="1"/>
  <c r="M180" i="5"/>
  <c r="A180" i="5" s="1"/>
  <c r="N180" i="5"/>
  <c r="M181" i="5"/>
  <c r="N181" i="5" s="1"/>
  <c r="M182" i="5"/>
  <c r="A182" i="5" s="1"/>
  <c r="M183" i="5"/>
  <c r="A183" i="5" s="1"/>
  <c r="N183" i="5"/>
  <c r="M184" i="5"/>
  <c r="A184" i="5" s="1"/>
  <c r="M185" i="5"/>
  <c r="A185" i="5" s="1"/>
  <c r="M186" i="5"/>
  <c r="N186" i="5" s="1"/>
  <c r="M187" i="5"/>
  <c r="A187" i="5" s="1"/>
  <c r="M188" i="5"/>
  <c r="N188" i="5" s="1"/>
  <c r="M189" i="5"/>
  <c r="N189" i="5" s="1"/>
  <c r="M190" i="5"/>
  <c r="A190" i="5" s="1"/>
  <c r="M191" i="5"/>
  <c r="A191" i="5" s="1"/>
  <c r="M192" i="5"/>
  <c r="A192" i="5" s="1"/>
  <c r="M193" i="5"/>
  <c r="N193" i="5" s="1"/>
  <c r="M194" i="5"/>
  <c r="N194" i="5" s="1"/>
  <c r="M195" i="5"/>
  <c r="N195" i="5" s="1"/>
  <c r="M196" i="5"/>
  <c r="A196" i="5" s="1"/>
  <c r="M197" i="5"/>
  <c r="A197" i="5" s="1"/>
  <c r="M198" i="5"/>
  <c r="A198" i="5" s="1"/>
  <c r="M199" i="5"/>
  <c r="A199" i="5" s="1"/>
  <c r="M200" i="5"/>
  <c r="A200" i="5" s="1"/>
  <c r="M31" i="5"/>
  <c r="M32" i="5"/>
  <c r="M60" i="3"/>
  <c r="M61" i="3"/>
  <c r="M62" i="3"/>
  <c r="M63" i="3"/>
  <c r="M64" i="3"/>
  <c r="M65" i="3"/>
  <c r="M66" i="3"/>
  <c r="M67" i="3"/>
  <c r="M51" i="4"/>
  <c r="M50" i="4"/>
  <c r="M49" i="4"/>
  <c r="M48" i="4"/>
  <c r="M51" i="3"/>
  <c r="M52" i="3"/>
  <c r="M53" i="3"/>
  <c r="M54" i="3"/>
  <c r="M55" i="3"/>
  <c r="M56" i="3"/>
  <c r="M57" i="3"/>
  <c r="M58" i="3"/>
  <c r="M59" i="3"/>
  <c r="M28" i="5"/>
  <c r="M21" i="5"/>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A121" i="3" l="1"/>
  <c r="A118" i="3"/>
  <c r="A78" i="3"/>
  <c r="N117" i="3"/>
  <c r="N103" i="3"/>
  <c r="N119" i="3"/>
  <c r="A119" i="3" s="1"/>
  <c r="N114" i="3"/>
  <c r="A100" i="3"/>
  <c r="A87" i="3"/>
  <c r="A92" i="3"/>
  <c r="N88" i="3"/>
  <c r="A88" i="3" s="1"/>
  <c r="A113" i="3"/>
  <c r="N99" i="3"/>
  <c r="A99" i="3" s="1"/>
  <c r="N86" i="3"/>
  <c r="A115" i="3"/>
  <c r="N85" i="3"/>
  <c r="N91" i="3"/>
  <c r="N97" i="3"/>
  <c r="A97" i="3" s="1"/>
  <c r="A84" i="3"/>
  <c r="N105" i="3"/>
  <c r="A105" i="3" s="1"/>
  <c r="N111" i="3"/>
  <c r="A111" i="3" s="1"/>
  <c r="N109" i="3"/>
  <c r="A95" i="3"/>
  <c r="A116" i="3"/>
  <c r="N122" i="3"/>
  <c r="A122" i="3" s="1"/>
  <c r="A108" i="3"/>
  <c r="N94" i="3"/>
  <c r="A94" i="3" s="1"/>
  <c r="A81" i="3"/>
  <c r="N66" i="5"/>
  <c r="A86" i="3"/>
  <c r="N182" i="5"/>
  <c r="N129" i="5"/>
  <c r="N168" i="5"/>
  <c r="N101" i="5"/>
  <c r="N120" i="3"/>
  <c r="A120" i="3" s="1"/>
  <c r="N93" i="3"/>
  <c r="A93" i="3" s="1"/>
  <c r="N92" i="3"/>
  <c r="N157" i="5"/>
  <c r="N79" i="5"/>
  <c r="N140" i="5"/>
  <c r="N110" i="3"/>
  <c r="A110" i="3" s="1"/>
  <c r="A104" i="5"/>
  <c r="N85" i="5"/>
  <c r="N118" i="3"/>
  <c r="N108" i="5"/>
  <c r="N96" i="5"/>
  <c r="A165" i="5"/>
  <c r="N108" i="3"/>
  <c r="N60" i="5"/>
  <c r="A112" i="5"/>
  <c r="A117" i="3"/>
  <c r="N96" i="3"/>
  <c r="A96" i="3" s="1"/>
  <c r="N116" i="5"/>
  <c r="A90" i="5"/>
  <c r="N95" i="3"/>
  <c r="A89" i="5"/>
  <c r="N127" i="5"/>
  <c r="N68" i="5"/>
  <c r="N104" i="3"/>
  <c r="A104" i="3" s="1"/>
  <c r="N83" i="3"/>
  <c r="A83" i="3" s="1"/>
  <c r="N173" i="5"/>
  <c r="N136" i="5"/>
  <c r="N113" i="5"/>
  <c r="A80" i="3"/>
  <c r="N82" i="3"/>
  <c r="A82" i="3" s="1"/>
  <c r="A79" i="3"/>
  <c r="N135" i="5"/>
  <c r="N101" i="3"/>
  <c r="A101" i="3" s="1"/>
  <c r="N177" i="5"/>
  <c r="N166" i="5"/>
  <c r="N115" i="5"/>
  <c r="N105" i="5"/>
  <c r="N63" i="5"/>
  <c r="A81" i="5"/>
  <c r="N155" i="5"/>
  <c r="N143" i="5"/>
  <c r="N124" i="5"/>
  <c r="N93" i="5"/>
  <c r="A75" i="5"/>
  <c r="A107" i="3"/>
  <c r="N90" i="3"/>
  <c r="A90" i="3" s="1"/>
  <c r="N197" i="5"/>
  <c r="N185" i="5"/>
  <c r="A103" i="3"/>
  <c r="N116" i="3"/>
  <c r="N81" i="3"/>
  <c r="N123" i="5"/>
  <c r="N71" i="5"/>
  <c r="N61" i="5"/>
  <c r="N89" i="3"/>
  <c r="A89" i="3" s="1"/>
  <c r="N131" i="5"/>
  <c r="N91" i="5"/>
  <c r="A194" i="5"/>
  <c r="N123" i="3"/>
  <c r="A123" i="3" s="1"/>
  <c r="N106" i="3"/>
  <c r="A106" i="3" s="1"/>
  <c r="N151" i="5"/>
  <c r="N121" i="5"/>
  <c r="N113" i="3"/>
  <c r="N138" i="5"/>
  <c r="N78" i="5"/>
  <c r="N121" i="3"/>
  <c r="N128" i="5"/>
  <c r="N87" i="5"/>
  <c r="A118" i="5"/>
  <c r="A114" i="3"/>
  <c r="A109" i="3"/>
  <c r="A91" i="3"/>
  <c r="N102" i="3"/>
  <c r="A102" i="3" s="1"/>
  <c r="N87" i="3"/>
  <c r="A85" i="3"/>
  <c r="N115" i="3"/>
  <c r="N100" i="3"/>
  <c r="N112" i="3"/>
  <c r="A112" i="3" s="1"/>
  <c r="N98" i="3"/>
  <c r="A98" i="3" s="1"/>
  <c r="N84" i="3"/>
  <c r="A164" i="5"/>
  <c r="N196" i="5"/>
  <c r="N187" i="5"/>
  <c r="N179" i="5"/>
  <c r="N170" i="5"/>
  <c r="N162" i="5"/>
  <c r="N154" i="5"/>
  <c r="N145" i="5"/>
  <c r="N120" i="5"/>
  <c r="N70" i="5"/>
  <c r="A195" i="5"/>
  <c r="A160" i="5"/>
  <c r="A88" i="5"/>
  <c r="A83" i="5"/>
  <c r="N169" i="5"/>
  <c r="N161" i="5"/>
  <c r="N144" i="5"/>
  <c r="N119" i="5"/>
  <c r="N102" i="5"/>
  <c r="N94" i="5"/>
  <c r="A189" i="5"/>
  <c r="A153" i="5"/>
  <c r="A82" i="5"/>
  <c r="A152" i="5"/>
  <c r="N184" i="5"/>
  <c r="N176" i="5"/>
  <c r="N159" i="5"/>
  <c r="N134" i="5"/>
  <c r="N117" i="5"/>
  <c r="N109" i="5"/>
  <c r="N84" i="5"/>
  <c r="N67" i="5"/>
  <c r="N59" i="5"/>
  <c r="A181" i="5"/>
  <c r="A150" i="5"/>
  <c r="A111" i="5"/>
  <c r="A188" i="5"/>
  <c r="N200" i="5"/>
  <c r="N192" i="5"/>
  <c r="N142" i="5"/>
  <c r="N100" i="5"/>
  <c r="A149" i="5"/>
  <c r="A69" i="5"/>
  <c r="N199" i="5"/>
  <c r="N191" i="5"/>
  <c r="N99" i="5"/>
  <c r="A103" i="5"/>
  <c r="A172" i="5"/>
  <c r="A137" i="5"/>
  <c r="A97" i="5"/>
  <c r="N198" i="5"/>
  <c r="N106" i="5"/>
  <c r="N98" i="5"/>
  <c r="N72" i="5"/>
  <c r="N64" i="5"/>
  <c r="A167" i="5"/>
  <c r="A62" i="5"/>
  <c r="A130" i="5"/>
  <c r="N147" i="5"/>
  <c r="N114" i="5"/>
  <c r="A175" i="5"/>
  <c r="A174" i="5"/>
  <c r="A132" i="5"/>
  <c r="A156" i="5"/>
  <c r="A58" i="5"/>
  <c r="A193" i="5"/>
  <c r="A95" i="5"/>
  <c r="A133" i="5"/>
  <c r="A146" i="5"/>
  <c r="A76" i="5"/>
  <c r="A186" i="5"/>
  <c r="A171" i="5"/>
  <c r="A73" i="5"/>
  <c r="N141" i="5"/>
  <c r="N126" i="5"/>
  <c r="N178" i="5"/>
  <c r="N163" i="5"/>
  <c r="N148" i="5"/>
  <c r="N110" i="5"/>
  <c r="N80" i="5"/>
  <c r="N65" i="5"/>
  <c r="A139" i="5"/>
  <c r="A125" i="5"/>
  <c r="A122" i="5"/>
  <c r="A107" i="5"/>
  <c r="N190" i="5"/>
  <c r="N92" i="5"/>
  <c r="N77" i="5"/>
  <c r="N50" i="4"/>
  <c r="A50" i="4" s="1"/>
  <c r="N51" i="4"/>
  <c r="A51" i="4" s="1"/>
  <c r="N48" i="4"/>
  <c r="A48" i="4" s="1"/>
  <c r="N49" i="4"/>
  <c r="A49" i="4" s="1"/>
  <c r="N5" i="5"/>
  <c r="N4" i="5"/>
  <c r="N3" i="5"/>
  <c r="N3" i="4"/>
  <c r="A3" i="4" s="1"/>
  <c r="N8" i="5"/>
  <c r="N7" i="5"/>
  <c r="N11" i="5"/>
  <c r="A11" i="5" s="1"/>
  <c r="N4" i="4"/>
  <c r="A4" i="4" s="1"/>
  <c r="N10" i="5"/>
  <c r="A10" i="5" s="1"/>
  <c r="N18" i="5"/>
  <c r="A18" i="5" s="1"/>
  <c r="N9" i="5"/>
  <c r="A9" i="5" s="1"/>
  <c r="N15" i="5"/>
  <c r="A15" i="5" s="1"/>
  <c r="N11" i="4"/>
  <c r="A11" i="4" s="1"/>
  <c r="N10" i="4"/>
  <c r="A10" i="4" s="1"/>
  <c r="N14" i="5"/>
  <c r="A14" i="5" s="1"/>
  <c r="N13" i="4"/>
  <c r="A13" i="4" s="1"/>
  <c r="N26" i="5"/>
  <c r="A26" i="5" s="1"/>
  <c r="N22" i="5"/>
  <c r="A22" i="5" s="1"/>
  <c r="N12" i="4"/>
  <c r="A12" i="4" s="1"/>
  <c r="N25" i="5"/>
  <c r="A25" i="5" s="1"/>
  <c r="N6" i="5"/>
  <c r="A6" i="5" s="1"/>
  <c r="N6" i="4"/>
  <c r="A6" i="4" s="1"/>
  <c r="N12" i="5"/>
  <c r="A12" i="5" s="1"/>
  <c r="N14" i="4"/>
  <c r="A14" i="4" s="1"/>
  <c r="N13" i="5"/>
  <c r="A13" i="5" s="1"/>
  <c r="N17" i="5"/>
  <c r="A17" i="5" s="1"/>
  <c r="N9" i="4"/>
  <c r="A9" i="4" s="1"/>
  <c r="N24" i="5"/>
  <c r="A24" i="5" s="1"/>
  <c r="N23" i="5"/>
  <c r="A23" i="5" s="1"/>
  <c r="N16" i="5"/>
  <c r="A16" i="5" s="1"/>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9" i="5"/>
  <c r="M30" i="5"/>
  <c r="M33" i="5"/>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2" i="3"/>
  <c r="N29" i="5" l="1"/>
  <c r="N30" i="5"/>
  <c r="A30" i="5" s="1"/>
  <c r="N46" i="5"/>
  <c r="A46" i="5" s="1"/>
  <c r="N44" i="5"/>
  <c r="A44" i="5" s="1"/>
  <c r="N45" i="5"/>
  <c r="A45" i="5" s="1"/>
  <c r="N49" i="5"/>
  <c r="A49" i="5" s="1"/>
  <c r="N47" i="5"/>
  <c r="A47" i="5" s="1"/>
  <c r="N41" i="5"/>
  <c r="A41" i="5" s="1"/>
  <c r="N40" i="5"/>
  <c r="A40" i="5" s="1"/>
  <c r="N55" i="5"/>
  <c r="A55" i="5" s="1"/>
  <c r="N51" i="5"/>
  <c r="A51" i="5" s="1"/>
  <c r="N43" i="5"/>
  <c r="A43" i="5" s="1"/>
  <c r="N53" i="5"/>
  <c r="A53" i="5" s="1"/>
  <c r="N48" i="5"/>
  <c r="A48" i="5" s="1"/>
  <c r="N56" i="5"/>
  <c r="A56" i="5" s="1"/>
  <c r="N50" i="5"/>
  <c r="A50" i="5" s="1"/>
  <c r="N52" i="5"/>
  <c r="A52" i="5" s="1"/>
  <c r="N54" i="5"/>
  <c r="A54" i="5" s="1"/>
  <c r="N57" i="5"/>
  <c r="A57" i="5" s="1"/>
  <c r="N75" i="3"/>
  <c r="A75" i="3" s="1"/>
  <c r="N74" i="3"/>
  <c r="A74" i="3" s="1"/>
  <c r="N71" i="3"/>
  <c r="A71" i="3" s="1"/>
  <c r="N73" i="3"/>
  <c r="A73" i="3" s="1"/>
  <c r="N77" i="3"/>
  <c r="A77" i="3" s="1"/>
  <c r="N69" i="3"/>
  <c r="A69" i="3" s="1"/>
  <c r="N70" i="3"/>
  <c r="A70" i="3" s="1"/>
  <c r="N68" i="3"/>
  <c r="A68" i="3" s="1"/>
  <c r="N72" i="3"/>
  <c r="A72" i="3" s="1"/>
  <c r="N76" i="3"/>
  <c r="A76" i="3" s="1"/>
  <c r="N154" i="4"/>
  <c r="N39" i="5"/>
  <c r="A39" i="5" s="1"/>
  <c r="N34" i="5"/>
  <c r="A34" i="5" s="1"/>
  <c r="N42" i="5"/>
  <c r="A42" i="5" s="1"/>
  <c r="N38" i="5"/>
  <c r="A38" i="5" s="1"/>
  <c r="N37" i="5"/>
  <c r="A37" i="5" s="1"/>
  <c r="N35" i="5"/>
  <c r="A35" i="5" s="1"/>
  <c r="N36" i="5"/>
  <c r="A36" i="5" s="1"/>
  <c r="N33" i="5"/>
  <c r="A33" i="5" s="1"/>
  <c r="N28" i="5"/>
  <c r="A28" i="5" s="1"/>
  <c r="N32" i="5"/>
  <c r="A32" i="5" s="1"/>
  <c r="N31" i="5"/>
  <c r="A31" i="5" s="1"/>
  <c r="N57" i="3"/>
  <c r="A57" i="3" s="1"/>
  <c r="N64" i="3"/>
  <c r="A64" i="3" s="1"/>
  <c r="N60" i="3"/>
  <c r="A60" i="3" s="1"/>
  <c r="N54" i="3"/>
  <c r="A54" i="3" s="1"/>
  <c r="N59" i="3"/>
  <c r="A59" i="3" s="1"/>
  <c r="N65" i="3"/>
  <c r="A65" i="3" s="1"/>
  <c r="N58" i="3"/>
  <c r="A58" i="3" s="1"/>
  <c r="N66" i="3"/>
  <c r="A66" i="3" s="1"/>
  <c r="N62" i="3"/>
  <c r="A62" i="3" s="1"/>
  <c r="N56" i="3"/>
  <c r="A56" i="3" s="1"/>
  <c r="N61" i="3"/>
  <c r="A61" i="3" s="1"/>
  <c r="N55" i="3"/>
  <c r="A55" i="3" s="1"/>
  <c r="N51" i="3"/>
  <c r="A51" i="3" s="1"/>
  <c r="N52" i="3"/>
  <c r="A52" i="3" s="1"/>
  <c r="N53" i="3"/>
  <c r="A53" i="3" s="1"/>
  <c r="N63" i="3"/>
  <c r="A63" i="3" s="1"/>
  <c r="N67" i="3"/>
  <c r="A67" i="3" s="1"/>
  <c r="N113" i="6"/>
  <c r="N112" i="6"/>
  <c r="N76" i="6"/>
  <c r="N165" i="4"/>
  <c r="N158" i="4"/>
  <c r="N139" i="6"/>
  <c r="N169" i="4"/>
  <c r="A16" i="6"/>
  <c r="N34" i="6"/>
  <c r="N150" i="6"/>
  <c r="N167" i="4"/>
  <c r="N111" i="6"/>
  <c r="N151" i="4"/>
  <c r="N97" i="6"/>
  <c r="N72" i="6"/>
  <c r="N44" i="6"/>
  <c r="N170" i="6"/>
  <c r="N169" i="6"/>
  <c r="N19" i="6"/>
  <c r="N155" i="4"/>
  <c r="N167" i="6"/>
  <c r="N90" i="6"/>
  <c r="N166" i="4"/>
  <c r="N177" i="6"/>
  <c r="N153" i="6"/>
  <c r="N79" i="6"/>
  <c r="N41" i="6"/>
  <c r="N114" i="6"/>
  <c r="A13" i="6"/>
  <c r="N162" i="4"/>
  <c r="N184" i="6"/>
  <c r="N122" i="6"/>
  <c r="N20" i="6"/>
  <c r="N17" i="6"/>
  <c r="N168" i="4"/>
  <c r="N159" i="4"/>
  <c r="N14" i="6"/>
  <c r="N135" i="6"/>
  <c r="N27" i="5"/>
  <c r="A27" i="5" s="1"/>
  <c r="A15" i="6"/>
  <c r="N176" i="6"/>
  <c r="N166" i="6"/>
  <c r="N132" i="6"/>
  <c r="N120" i="6"/>
  <c r="N48" i="6"/>
  <c r="N152" i="6"/>
  <c r="N26" i="6"/>
  <c r="N12" i="6"/>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45" i="4"/>
  <c r="N194" i="6"/>
  <c r="N69" i="6"/>
  <c r="N24" i="6"/>
  <c r="N10" i="6"/>
  <c r="A110" i="6"/>
  <c r="N23" i="6"/>
  <c r="N9" i="6"/>
  <c r="N144" i="4"/>
  <c r="N180" i="6"/>
  <c r="N160" i="6"/>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92" i="6"/>
  <c r="N162" i="6"/>
  <c r="N140" i="6"/>
  <c r="N98" i="6"/>
  <c r="A29" i="5"/>
  <c r="A66" i="6"/>
  <c r="N178" i="6"/>
  <c r="N149" i="6"/>
  <c r="N138" i="6"/>
  <c r="N96" i="6"/>
  <c r="N51" i="6"/>
  <c r="N188" i="6"/>
  <c r="N85" i="6"/>
  <c r="N196" i="6"/>
  <c r="N124" i="6"/>
  <c r="N104" i="6"/>
  <c r="N94" i="6"/>
  <c r="N84" i="6"/>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77" i="4"/>
  <c r="A147" i="4"/>
  <c r="N157" i="4"/>
  <c r="N143" i="4"/>
  <c r="A161" i="4"/>
  <c r="A133" i="4"/>
  <c r="A105" i="4"/>
  <c r="A119" i="4"/>
  <c r="A91" i="4"/>
  <c r="A63" i="4"/>
  <c r="N3" i="3"/>
  <c r="A3" i="3" s="1"/>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<sst xmlns="http://schemas.openxmlformats.org/spreadsheetml/2006/main" count="4328" uniqueCount="1306">
  <si>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</si>
  <si>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</si>
  <si>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</si>
  <si>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</si>
  <si>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</si>
  <si>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</si>
  <si>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</si>
  <si>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</si>
  <si>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</si>
  <si>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</si>
  <si>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</si>
  <si>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</si>
  <si>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</si>
  <si>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</si>
  <si>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</si>
  <si>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</si>
  <si>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</si>
  <si>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</si>
  <si>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</si>
  <si>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</si>
  <si>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</si>
  <si>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</si>
  <si>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</si>
  <si>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</si>
  <si>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</si>
  <si>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</si>
  <si>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</si>
  <si>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</si>
  <si>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</si>
  <si>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</si>
  <si>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</si>
  <si>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</si>
  <si>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</si>
  <si>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</si>
  <si>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</si>
  <si>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</si>
  <si>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</si>
  <si>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</si>
  <si>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</si>
  <si>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</si>
  <si>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</si>
  <si>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</si>
  <si>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</si>
  <si>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</si>
  <si>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</si>
  <si>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</si>
  <si>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</si>
  <si>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</si>
  <si>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</si>
  <si>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</si>
  <si>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</si>
  <si>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</si>
  <si>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</si>
  <si>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</si>
  <si>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</si>
  <si>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</si>
  <si>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</si>
  <si>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</si>
  <si>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</si>
  <si>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</si>
  <si>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</si>
  <si>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</si>
  <si>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</si>
  <si>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</si>
  <si>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</si>
  <si>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</si>
  <si>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</si>
  <si>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</si>
  <si>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</si>
  <si>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</si>
  <si>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</si>
  <si>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</si>
  <si>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</si>
  <si>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</si>
  <si>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</si>
  <si>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</si>
  <si>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</si>
  <si>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</si>
  <si>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</si>
  <si>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</si>
  <si>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</si>
  <si>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</si>
  <si>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</si>
  <si>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</si>
  <si>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</si>
  <si>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</si>
  <si>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</si>
  <si>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</si>
  <si>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</si>
  <si>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</si>
  <si>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</si>
  <si>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</si>
  <si>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</si>
  <si>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</si>
  <si>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</si>
  <si>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</si>
  <si>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</si>
  <si>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</si>
  <si>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</si>
  <si>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</si>
  <si>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</si>
  <si>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</si>
  <si>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</si>
  <si>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</si>
  <si>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</si>
  <si>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</si>
  <si>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</si>
  <si>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</si>
  <si>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</si>
  <si>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</si>
  <si>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</si>
  <si>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</si>
  <si>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</si>
  <si>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</si>
  <si>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</si>
  <si>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</si>
  <si>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</si>
  <si>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</si>
  <si>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</si>
  <si>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</si>
  <si>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</si>
  <si>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</si>
  <si>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</si>
  <si>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</si>
  <si>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</si>
  <si>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</si>
  <si>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</si>
  <si>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</si>
  <si>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</si>
  <si>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</si>
  <si>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</si>
  <si>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</si>
  <si>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</si>
  <si>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</si>
  <si>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</si>
  <si>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</si>
  <si>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</si>
  <si>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</si>
  <si>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</si>
  <si>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</si>
  <si>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</si>
  <si>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</si>
  <si>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</si>
  <si>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</si>
  <si>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</si>
  <si>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</si>
  <si>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</si>
  <si>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</si>
  <si>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</si>
  <si>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</si>
  <si>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</si>
  <si>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</si>
  <si>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</si>
  <si>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</si>
  <si>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</si>
  <si>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</si>
  <si>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</si>
  <si>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</si>
  <si>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</si>
  <si>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</si>
  <si>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</si>
  <si>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</si>
  <si>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</si>
  <si>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</si>
  <si>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</si>
  <si>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</si>
  <si>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</si>
  <si>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</si>
  <si>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</si>
  <si>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</si>
  <si>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</si>
  <si>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</si>
  <si>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</si>
  <si>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</si>
  <si>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</si>
  <si>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</si>
  <si>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</si>
  <si>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</si>
  <si>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</si>
  <si>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</si>
  <si>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</si>
  <si>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</si>
  <si>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</si>
  <si>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</si>
  <si>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</si>
  <si>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</si>
  <si>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</si>
  <si>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</si>
  <si>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</si>
  <si>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</si>
  <si>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</si>
  <si>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</si>
  <si>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</si>
  <si>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</si>
  <si>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</si>
  <si>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</si>
  <si>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</si>
  <si>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</si>
  <si>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</si>
  <si>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</si>
  <si>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</si>
  <si>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</si>
  <si>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</si>
  <si>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</si>
  <si>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</si>
  <si>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</si>
  <si>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</si>
  <si>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</si>
  <si>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</si>
  <si>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</si>
  <si>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</si>
  <si>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</si>
  <si>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</si>
  <si>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</si>
  <si>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</si>
  <si>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</si>
  <si>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</si>
  <si>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</si>
  <si>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</si>
  <si>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</si>
  <si>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</si>
  <si>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</si>
  <si>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</si>
  <si>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</si>
  <si>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</si>
  <si>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</si>
  <si>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</si>
  <si>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</si>
  <si>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</si>
  <si>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</si>
  <si>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</si>
  <si>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</si>
  <si>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</si>
  <si>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</si>
  <si>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</si>
  <si>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</si>
  <si>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</si>
  <si>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</si>
  <si>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</si>
  <si>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</si>
  <si>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</si>
  <si>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</si>
  <si>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</si>
  <si>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</si>
  <si>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</si>
  <si>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</si>
  <si>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</si>
  <si>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</si>
  <si>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</si>
  <si>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</si>
  <si>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</si>
  <si>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</si>
  <si>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</si>
  <si>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</si>
  <si>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</si>
  <si>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</si>
  <si>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</si>
  <si>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</si>
  <si>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</si>
  <si>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</si>
  <si>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</si>
  <si>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</si>
  <si>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</si>
  <si>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</si>
  <si>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</si>
  <si>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</si>
  <si>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</si>
  <si>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</si>
  <si>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</si>
  <si>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</si>
  <si>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</si>
  <si>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</si>
  <si>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</si>
  <si>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</si>
  <si>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</si>
  <si>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</si>
  <si>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</si>
  <si>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</si>
  <si>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</si>
  <si>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</si>
  <si>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</si>
  <si>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</si>
  <si>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</si>
  <si>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</si>
  <si>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</si>
  <si>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</si>
  <si>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</si>
  <si>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</si>
  <si>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</si>
  <si>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</si>
  <si>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</si>
  <si>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</si>
  <si>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</si>
  <si>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</si>
  <si>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</si>
  <si>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</si>
  <si>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</si>
  <si>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</si>
  <si>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</si>
  <si>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</si>
  <si>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</si>
  <si>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</si>
  <si>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</si>
  <si>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</si>
  <si>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</si>
  <si>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</si>
  <si>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</si>
  <si>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</si>
  <si>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</si>
  <si>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</si>
  <si>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</si>
  <si>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</si>
  <si>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</si>
  <si>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</si>
  <si>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</si>
  <si>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</si>
  <si>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</si>
  <si>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</si>
  <si>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</si>
  <si>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</si>
  <si>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</si>
  <si>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</si>
  <si>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</si>
  <si>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</si>
  <si>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</si>
  <si>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</si>
  <si>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</si>
  <si>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</si>
  <si>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</si>
  <si>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</si>
  <si>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</si>
  <si>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</si>
  <si>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</si>
  <si>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</si>
  <si>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</si>
  <si>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</si>
  <si>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</si>
  <si>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</si>
  <si>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</si>
  <si>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</si>
  <si>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</si>
  <si>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</si>
  <si>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</si>
  <si>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</si>
  <si>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</si>
  <si>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</si>
  <si>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</si>
  <si>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</si>
  <si>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</si>
  <si>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</si>
  <si>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</si>
  <si>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</si>
  <si>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</si>
  <si>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</si>
  <si>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</si>
  <si>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</si>
  <si>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</si>
  <si>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</si>
  <si>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</si>
  <si>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</si>
  <si>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</si>
  <si>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</si>
  <si>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</si>
  <si>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</si>
  <si>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</si>
  <si>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</si>
  <si>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</si>
  <si>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</si>
  <si>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</si>
  <si>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</si>
  <si>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</si>
  <si>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</si>
  <si>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</si>
  <si>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</si>
  <si>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</si>
  <si>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</si>
  <si>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</si>
  <si>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</si>
  <si>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</si>
  <si>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</si>
  <si>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</si>
  <si>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</si>
  <si>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</si>
  <si>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</si>
  <si>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</si>
  <si>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</si>
  <si>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</si>
  <si>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</si>
  <si>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</si>
  <si>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</si>
  <si>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</si>
  <si>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</si>
  <si>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</si>
  <si>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</si>
  <si>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</si>
  <si>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</si>
  <si>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</si>
  <si>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</si>
  <si>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</si>
  <si>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</si>
  <si>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</si>
  <si>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</si>
  <si>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</si>
  <si>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</si>
  <si>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</si>
  <si>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</si>
  <si>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</si>
  <si>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</si>
  <si>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</si>
  <si>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</si>
  <si>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</si>
  <si>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</si>
  <si>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</si>
  <si>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</si>
  <si>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</si>
  <si>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</si>
  <si>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</si>
  <si>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</si>
  <si>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</si>
  <si>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</si>
  <si>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</si>
  <si>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</si>
  <si>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</si>
  <si>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</si>
  <si>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</si>
  <si>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</si>
  <si>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</si>
  <si>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</si>
  <si>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</si>
  <si>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</si>
  <si>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</si>
  <si>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</si>
  <si>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</si>
  <si>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</si>
  <si>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</si>
  <si>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</si>
  <si>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</si>
  <si>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</si>
  <si>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</si>
  <si>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</si>
  <si>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</si>
  <si>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</si>
  <si>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</si>
  <si>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</si>
  <si>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</si>
  <si>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</si>
  <si>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</si>
  <si>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</si>
  <si>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</si>
  <si>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</si>
  <si>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</si>
  <si>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</si>
  <si>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</si>
  <si>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</si>
  <si>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</si>
  <si>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</si>
  <si>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</si>
  <si>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</si>
  <si>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</si>
  <si>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</si>
  <si>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</si>
  <si>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</si>
  <si>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</si>
  <si>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</si>
  <si>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</si>
  <si>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</si>
  <si>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</si>
  <si>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</si>
  <si>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</si>
  <si>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</si>
  <si>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</si>
  <si>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</si>
  <si>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</si>
  <si>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</si>
  <si>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</si>
  <si>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</si>
  <si>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</si>
  <si>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</si>
  <si>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</si>
  <si>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</si>
  <si>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</si>
  <si>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</si>
  <si>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</si>
  <si>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</si>
  <si>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</si>
  <si>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</si>
  <si>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</si>
  <si>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</si>
  <si>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</si>
  <si>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</si>
  <si>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</si>
  <si>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</si>
  <si>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</si>
  <si>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</si>
  <si>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</si>
  <si>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</si>
  <si>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</si>
  <si>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</si>
  <si>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</si>
  <si>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</si>
  <si>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</si>
  <si>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</si>
  <si>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</si>
  <si>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</si>
  <si>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</si>
  <si>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</si>
  <si>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</si>
  <si>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</si>
  <si>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</si>
  <si>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</si>
  <si>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</si>
  <si>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</si>
  <si>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</si>
  <si>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</si>
  <si>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</si>
  <si>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</si>
  <si>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</si>
  <si>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</si>
  <si>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</si>
  <si>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</si>
  <si>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</si>
  <si>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</si>
  <si>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</si>
  <si>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</si>
  <si>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</si>
  <si>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</si>
  <si>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</si>
  <si>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</si>
  <si>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</si>
  <si>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</si>
  <si>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</si>
  <si>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</si>
  <si>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</si>
  <si>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</si>
  <si>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</si>
  <si>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</si>
  <si>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</si>
  <si>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</si>
  <si>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</si>
  <si>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</si>
  <si>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</si>
  <si>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</si>
  <si>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</si>
  <si>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</si>
  <si>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</si>
  <si>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</si>
  <si>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</si>
  <si>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</si>
  <si>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</si>
  <si>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</si>
  <si>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</si>
  <si>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</si>
  <si>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</si>
  <si>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</si>
  <si>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</si>
  <si>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</si>
  <si>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</si>
  <si>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</si>
  <si>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</si>
  <si>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</si>
  <si>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</si>
  <si>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</si>
  <si>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</si>
  <si>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</si>
  <si>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</si>
  <si>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</si>
  <si>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</si>
  <si>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</si>
  <si>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</si>
  <si>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</si>
  <si>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</si>
  <si>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</si>
  <si>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</si>
  <si>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</si>
  <si>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</si>
  <si>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</si>
  <si>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</si>
  <si>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</si>
  <si>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</si>
  <si>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</si>
  <si>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</si>
  <si>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</si>
  <si>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</si>
  <si>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</si>
  <si>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</si>
  <si>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</si>
  <si>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</si>
  <si>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</si>
  <si>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</si>
  <si>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</si>
  <si>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</si>
  <si>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</si>
  <si>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</si>
  <si>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</si>
  <si>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</si>
  <si>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</si>
  <si>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</si>
  <si>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</si>
  <si>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</si>
  <si>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</si>
  <si>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</si>
  <si>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</si>
  <si>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</si>
  <si>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</si>
  <si>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</si>
  <si>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</si>
  <si>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</si>
  <si>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</si>
  <si>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</si>
  <si>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</si>
  <si>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</si>
  <si>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</si>
  <si>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</si>
  <si>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</si>
  <si>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</si>
  <si>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</si>
  <si>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</si>
  <si>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</si>
  <si>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</si>
  <si>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</si>
  <si>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</si>
  <si>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</si>
  <si>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</si>
  <si>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</si>
  <si>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</si>
  <si>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</si>
  <si>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</si>
  <si>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</si>
  <si>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</si>
  <si>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</si>
  <si>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</si>
  <si>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</si>
  <si>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</si>
  <si>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</si>
  <si>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</si>
  <si>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</si>
  <si>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</si>
  <si>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</si>
  <si>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</si>
  <si>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</si>
  <si>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</si>
  <si>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</si>
  <si>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</si>
  <si>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</si>
  <si>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</si>
  <si>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</si>
  <si>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</si>
  <si>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</si>
  <si>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</si>
  <si>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</si>
  <si>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</si>
  <si>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</si>
  <si>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</si>
  <si>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</si>
  <si>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</si>
  <si>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</si>
  <si>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</si>
  <si>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</si>
  <si>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</si>
  <si>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</si>
  <si>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</si>
  <si>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</si>
  <si>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</si>
  <si>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</si>
  <si>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</si>
  <si>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</si>
  <si>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</si>
  <si>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</si>
  <si>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</si>
  <si>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</si>
  <si>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</si>
  <si>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</si>
  <si>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</si>
  <si>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</si>
  <si>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</si>
  <si>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</si>
  <si>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</si>
  <si>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</si>
  <si>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</si>
  <si>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</si>
  <si>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</si>
  <si>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</si>
  <si>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</si>
  <si>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</si>
  <si>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</si>
  <si>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</si>
  <si>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</si>
  <si>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</si>
  <si>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</si>
  <si>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</si>
  <si>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</si>
  <si>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</si>
  <si>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</si>
  <si>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</si>
  <si>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</si>
  <si>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</si>
  <si>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</si>
  <si>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</si>
  <si>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</si>
  <si>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</si>
  <si>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</si>
  <si>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</si>
  <si>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</si>
  <si>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</si>
  <si>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</si>
  <si>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</si>
  <si>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</si>
  <si>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</si>
  <si>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</si>
  <si>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</si>
  <si>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</si>
  <si>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</si>
  <si>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</si>
  <si>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</si>
  <si>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</si>
  <si>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</si>
  <si>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</si>
  <si>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</si>
  <si>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</si>
  <si>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</si>
  <si>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</si>
  <si>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</si>
  <si>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</si>
  <si>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</si>
  <si>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</si>
  <si>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</si>
  <si>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</si>
  <si>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</si>
  <si>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</si>
  <si>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</si>
  <si>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</si>
  <si>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</si>
  <si>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</si>
  <si>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</si>
  <si>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</si>
  <si>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</si>
  <si>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</si>
  <si>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</si>
  <si>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</si>
  <si>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</si>
  <si>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</si>
  <si>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</si>
  <si>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</si>
  <si>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</si>
  <si>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</si>
  <si>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</si>
  <si>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</si>
  <si>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</si>
  <si>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</si>
  <si>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</si>
  <si>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</si>
  <si>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</si>
  <si>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</si>
  <si>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</si>
  <si>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</si>
  <si>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</si>
  <si>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</si>
  <si>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</si>
  <si>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</si>
  <si>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</si>
  <si>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</si>
  <si>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</si>
  <si>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</si>
  <si>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</si>
  <si>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</si>
  <si>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</si>
  <si>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</si>
  <si>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</si>
  <si>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</si>
  <si>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</si>
  <si>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</si>
  <si>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</si>
  <si>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</si>
  <si>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</si>
  <si>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</si>
  <si>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</si>
  <si>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</si>
  <si>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</si>
  <si>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</si>
  <si>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</si>
  <si>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</si>
  <si>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</si>
  <si>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</si>
  <si>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</si>
  <si>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</si>
  <si>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</si>
  <si>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</si>
  <si>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</si>
  <si>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</si>
  <si>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</si>
  <si>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</si>
  <si>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</si>
  <si>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</si>
  <si>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</si>
  <si>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</si>
  <si>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</si>
  <si>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</si>
  <si>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</si>
  <si>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</si>
  <si>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</si>
  <si>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</si>
  <si>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</si>
  <si>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</si>
  <si>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</si>
  <si>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</si>
  <si>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</si>
  <si>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</si>
  <si>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</si>
  <si>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</si>
  <si>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</si>
  <si>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</si>
  <si>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</si>
  <si>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</si>
  <si>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</si>
  <si>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</si>
  <si>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</si>
  <si>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</si>
  <si>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</si>
  <si>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</si>
  <si>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</si>
  <si>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</si>
  <si>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</si>
  <si>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</si>
  <si>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</si>
  <si>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</si>
  <si>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</si>
  <si>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</si>
  <si>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</si>
  <si>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</si>
  <si>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</si>
  <si>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</si>
  <si>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</si>
  <si>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</si>
  <si>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</si>
  <si>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</si>
  <si>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</si>
  <si>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</si>
  <si>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</si>
  <si>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</si>
  <si>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</si>
  <si>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</si>
  <si>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</si>
  <si>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</si>
  <si>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</si>
  <si>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["UK IHT before QSR","UK IHT after QSR","Taxable estate","overseas tax paid"]</t>
  </si>
  <si>
    <t>UK IHT after QSR</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</si>
  <si>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</si>
  <si>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</si>
  <si>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</si>
  <si>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</si>
  <si>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</si>
  <si>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</si>
  <si>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</si>
  <si>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</si>
  <si>
    <t>lower</t>
  </si>
  <si>
    <t>Valuations</t>
  </si>
  <si>
    <t>iht:gifts_reservation_benefit</t>
  </si>
  <si>
    <t>GIFTRESBEN</t>
  </si>
  <si>
    <t>["lifetime tax on lifetime gifts","death tax on lifetime gifts","death tax on death estate","RNRB"]</t>
  </si>
  <si>
    <t>To calculate the value of a gift with reservation of benefit (e.g. a house you gift but still live in) perform two calculations: 
1. Include in the {gap1} calculation at {gap2} value.
2. As a {gap3} at time of transfer, or release of benefit. 
Include the {gap4] as the value and calculate remaining IHT</t>
  </si>
  <si>
    <t>death tax on death estate</t>
  </si>
  <si>
    <t xml:space="preserve">["market","probate","transfer","value after exemptions"] </t>
  </si>
  <si>
    <t>probate</t>
  </si>
  <si>
    <t>["PET","CLT"]</t>
  </si>
  <si>
    <t>PET</t>
  </si>
  <si>
    <t>["lower","higher"]</t>
  </si>
  <si>
    <t>higher</t>
  </si>
  <si>
    <t>Work out which raises the higher IHT tax liability - that's what HMRC wants. If it is treated as a PET, it will be payable by the beneficiary in addition to the IHT on the death estate</t>
  </si>
  <si>
    <t>Disallowable trading expenses</t>
  </si>
  <si>
    <t>disallowable;drawings</t>
  </si>
  <si>
    <t>assistant_generated</t>
  </si>
  <si>
    <t>DISALLOW</t>
  </si>
  <si>
    <t>A sole trader withdraws £1,200 from the business bank account for personal living costs. How is this treated for trading profit purposes?</t>
  </si>
  <si>
    <t>Allowable because cash left the business account</t>
  </si>
  <si>
    <t>Disallowable (it is drawings)</t>
  </si>
  <si>
    <t>Partially allowable if under £2,000</t>
  </si>
  <si>
    <t>Allowable if owner is taxed on profits</t>
  </si>
  <si>
    <t>Drawings are personal withdrawals, not incurred wholly and exclusively for trade.</t>
  </si>
  <si>
    <t>disallowable;wages</t>
  </si>
  <si>
    <t>A trader pays a family member £30,000 for work worth £12,000 at market rate. Which amount is disallowable?</t>
  </si>
  <si>
    <t>Nothing is disallowable because wages are always deductible</t>
  </si>
  <si>
    <t>The full £30,000 is disallowable</t>
  </si>
  <si>
    <t>Only £12,000 is disallowable</t>
  </si>
  <si>
    <t>The excess £18,000 is disallowable</t>
  </si>
  <si>
    <t>Only the non-commercial excess is disallowable; commercially justified pay is allowable.</t>
  </si>
  <si>
    <t>disallowable;capital</t>
  </si>
  <si>
    <t>A business installs an entirely new heating system in its premises. For trading profit, this cost is generally:</t>
  </si>
  <si>
    <t>Disallowable as capital expenditure</t>
  </si>
  <si>
    <t>Allowable if paid in cash</t>
  </si>
  <si>
    <t>A new system is generally capital in nature, so not deductible as a revenue trading expense.</t>
  </si>
  <si>
    <t>disallowable;donations</t>
  </si>
  <si>
    <t>A business makes a donation to a political party. Is this deductible in trading profit?</t>
  </si>
  <si>
    <t>Yes, if it may indirectly benefit trade</t>
  </si>
  <si>
    <t>No, it is disallowable</t>
  </si>
  <si>
    <t>Yes, if approved by shareholders</t>
  </si>
  <si>
    <t>Political donations are specifically disallowable.</t>
  </si>
  <si>
    <t>disallowable;medical</t>
  </si>
  <si>
    <t>Partially allowable at 50%</t>
  </si>
  <si>
    <t>Disallowable (private/personal expense)</t>
  </si>
  <si>
    <t>Allowable if trader works full-time</t>
  </si>
  <si>
    <t>Allowable if reimbursed later</t>
  </si>
  <si>
    <t>disallowable;bad_debt</t>
  </si>
  <si>
    <t>A trader writes off a personal loan made to a friend, unrelated to trade. This write-off is:</t>
  </si>
  <si>
    <t>Allowable as bad debt</t>
  </si>
  <si>
    <t>Disallowable (non-trade debt)</t>
  </si>
  <si>
    <t>Allowable if irrecoverable</t>
  </si>
  <si>
    <t>Allowable if journaled at year end</t>
  </si>
  <si>
    <t>Relief is generally for trade debts; non-trade debts are disallowable.</t>
  </si>
  <si>
    <t>disallowable;provision</t>
  </si>
  <si>
    <t>disallowable;entertaining</t>
  </si>
  <si>
    <t>disallowable;mixed_test</t>
  </si>
  <si>
    <t>Allowable is cash basis used</t>
  </si>
  <si>
    <t xml:space="preserve">The payment less gross employer's NICs </t>
  </si>
  <si>
    <t xml:space="preserve">Allowable if invoiced in tax year </t>
  </si>
  <si>
    <t>Allowable as routine repair and maintenance expense</t>
  </si>
  <si>
    <t>Allowable as a revenue expenditure</t>
  </si>
  <si>
    <t>Yes, if below small amount threshold (lower of £3000 or 5% donation)</t>
  </si>
  <si>
    <t>Yes, if within last 2 tax years</t>
  </si>
  <si>
    <t>A sole trader pays personal private medical costs from the business account. What is the treatment for trading profits?</t>
  </si>
  <si>
    <t>Allowable to a cap of £500</t>
  </si>
  <si>
    <t>Private medical costs are personal and fail the wholly and exclusively test. £500 is the cap of on medical expenses taxable benefit exemption.</t>
  </si>
  <si>
    <t>Allowable if the debtor is a customer in good standing</t>
  </si>
  <si>
    <t>£17750, all bad debt provisions are allowable</t>
  </si>
  <si>
    <t>£5000, the increase in bad debt provision</t>
  </si>
  <si>
    <t>£0, bad debt provisions are always disallowable</t>
  </si>
  <si>
    <t>At year end, a trader using the accruals basis increases a general bad debt provision from £12570 to £17570. What amount is deductible from this year's accounting profit?</t>
  </si>
  <si>
    <t>Allowances for bad debt provisions only apply to traders using the cash basis.</t>
  </si>
  <si>
    <t xml:space="preserve">The increase is disallowed </t>
  </si>
  <si>
    <t>A trader takes clients to dinner and his employees to a sports event, both for trading purposes and costing £500. How should these be treated in the adjustment to accounting profit calculation?</t>
  </si>
  <si>
    <t>Both are fully allowable because they are wholly business motivated</t>
  </si>
  <si>
    <t>Only the client entertaining is allowable</t>
  </si>
  <si>
    <t>Only the staff entertaining is allowable</t>
  </si>
  <si>
    <t>Business entertaining of customers is specifically disallowable. Staff entertaining is allowbale. The £50 refers to caps on gifts: &lt;£50, logo, not food, alcohol, tobacco, vouchers</t>
  </si>
  <si>
    <t>Only the client entertaining is allowable at the cap of £50/head</t>
  </si>
  <si>
    <t>Both are allowable to a cap of cost per head is less than £50</t>
  </si>
  <si>
    <t>A trader makes two charitable donations: one to a local charity, another to Unicef. How should these be treated in the adjustment to accounting profit calculation</t>
  </si>
  <si>
    <t>Only the local charity expense is allowable</t>
  </si>
  <si>
    <t>Both charitable donations are allowable</t>
  </si>
  <si>
    <t>Both charitable donations are allowable up to a value of 10% taxable trading profits</t>
  </si>
  <si>
    <t>Only UNICEF - only donations to large or medium sized charities are allowable</t>
  </si>
  <si>
    <t>Neither, charitable donations are only exempt in the corporation tax calculation</t>
  </si>
  <si>
    <t>Donations to local charities are allowbale</t>
  </si>
  <si>
    <t>Expenditure on acquiring or improving fixed assets is generally {gap1} in calculating trading profit.</t>
  </si>
  <si>
    <t>allowable</t>
  </si>
  <si>
    <t>disallowable</t>
  </si>
  <si>
    <t>Capital expenditure is disallowable in the trading profit computation.</t>
  </si>
  <si>
    <t>disallowable;tax</t>
  </si>
  <si>
    <t>Personal income tax paid by a sole trader is {gap1} for trading profit purposes.</t>
  </si>
  <si>
    <t>Personal income tax is not a deductible trading expense.</t>
  </si>
  <si>
    <t>disallowable;depreciation</t>
  </si>
  <si>
    <t>Depreciation is added back for tax purposes.</t>
  </si>
  <si>
    <t>disallowable;fines</t>
  </si>
  <si>
    <t>Penalties and fines incurred by a business are generally {gap1} for tax.</t>
  </si>
  <si>
    <t>Penalties and fines are not deductible in computing trading profits.</t>
  </si>
  <si>
    <t>Lease premiums</t>
  </si>
  <si>
    <t>Use Premium ÷ number of years × n/12 to time-apportion the deduction.</t>
  </si>
  <si>
    <t>The lease premium calculation uses a 2% reduction for each year after year 1.</t>
  </si>
  <si>
    <t>Amortisation charged in the accounts is {gap1} when computing taxable trading profit.</t>
  </si>
  <si>
    <t>For a short lease premium, the deductible amount *for the trader* is calculated as {gap1} ÷ {gap2} × {gap3}.</t>
  </si>
  <si>
    <t>rental income assessment (amount taxed on landlord)</t>
  </si>
  <si>
    <t>["months/12","months x 12"]</t>
  </si>
  <si>
    <t>months/12</t>
  </si>
  <si>
    <t>years of lease</t>
  </si>
  <si>
    <t>lease_premium</t>
  </si>
  <si>
    <t>LEASES</t>
  </si>
  <si>
    <t>["years of lease","rental income assessment (amount taxed on landlord)"]</t>
  </si>
  <si>
    <t>["20%","2%"]</t>
  </si>
  <si>
    <t>Tenants often pay annual rent and a one off premium. For short, &gt;50 years leases, part of that premium is treated as rent received in advance. Complete the formula for assessing the total rental income assessment on the landlord: Rental income assessment = Premium − ({gap1} × ({gap2}) × premium).</t>
  </si>
  <si>
    <t>["years − 1","years"]</t>
  </si>
  <si>
    <t>years − 1</t>
  </si>
  <si>
    <t>Badges of trade</t>
  </si>
  <si>
    <t>badges;profit_motive</t>
  </si>
  <si>
    <t>BADGES</t>
  </si>
  <si>
    <t>Which badge of trade focuses on whether there is an intention to make a profit?</t>
  </si>
  <si>
    <t>The source of finance</t>
  </si>
  <si>
    <t>Profit-seeking motive</t>
  </si>
  <si>
    <t>Method of acquisition</t>
  </si>
  <si>
    <t>Interval between purchase and sale</t>
  </si>
  <si>
    <t>Number of transactions</t>
  </si>
  <si>
    <t>Profit-seeking motive tests whether the transaction was entered into with an intention to make profit.</t>
  </si>
  <si>
    <t>badges;transactions</t>
  </si>
  <si>
    <t>Repeated and systematic buying and selling most strongly indicates which badge of trade?</t>
  </si>
  <si>
    <t>Supplementary work and marketing</t>
  </si>
  <si>
    <t>Existence of similar trading transactions</t>
  </si>
  <si>
    <t>A high number of repeated transactions points toward trading activity rather than a one-off investment disposal.</t>
  </si>
  <si>
    <t>badges;supplementary_work</t>
  </si>
  <si>
    <t>A person improves an asset and actively markets it to buyers before sale. Which badge does this support?</t>
  </si>
  <si>
    <t>Source of finance</t>
  </si>
  <si>
    <t>Supplementary work and active marketing suggest a trading approach to generate profit.</t>
  </si>
  <si>
    <t>badges;similar_transactions</t>
  </si>
  <si>
    <t>Which badge asks whether the transaction resembles a person's existing trade activities?</t>
  </si>
  <si>
    <t>Existence of similar trading transactions or interests</t>
  </si>
  <si>
    <t>If the transaction is similar to pre-existing trading activity, that similarity supports a trading classification.</t>
  </si>
  <si>
    <t>badges;finance</t>
  </si>
  <si>
    <t>Which badge is most directly indicated where money is borrowed to acquire an asset for resale?</t>
  </si>
  <si>
    <t>Existence of similar transactions</t>
  </si>
  <si>
    <t>Borrowing to fund purchase can indicate a commercial, trade-like motive.</t>
  </si>
  <si>
    <t>badges;interval</t>
  </si>
  <si>
    <t>A very short period between purchase and sale most strongly supports which badge of trade?</t>
  </si>
  <si>
    <t>Quick turnover of an asset is more consistent with trading than long-term investment holding.</t>
  </si>
  <si>
    <t>badges;acquisition</t>
  </si>
  <si>
    <t>Receiving an asset by gift or inheritance usually points against trade under which badge?</t>
  </si>
  <si>
    <t>Where acquisition is by gift or inheritance, it is less likely the asset was obtained for trading.</t>
  </si>
  <si>
    <t>badges;purpose_recall</t>
  </si>
  <si>
    <t>Which option correctly matches badge and purpose?</t>
  </si>
  <si>
    <t>Method of acquisition: checks whether sale happened quickly</t>
  </si>
  <si>
    <t>Interval between purchase and sale: checks if funding was borrowed</t>
  </si>
  <si>
    <t>Source of finance: checks whether borrowed funds suggest trade</t>
  </si>
  <si>
    <t>Number of transactions: checks if asset was inherited</t>
  </si>
  <si>
    <t>Profit-seeking motive: checks if work was done to improve asset</t>
  </si>
  <si>
    <t>The source of finance badge considers whether financing (for example borrowing) suggests a trade-like transaction.</t>
  </si>
  <si>
    <t>badges;mapping</t>
  </si>
  <si>
    <t>Match each purpose to the correct badge: (1) intention to make a profit = {gap1}; (2) repeated and systematic transactions = {gap2}; (3) borrowing to fund purchase implies trade = {gap3}; (4) short time between purchase and sale implies trade = {gap4}.</t>
  </si>
  <si>
    <t>profit-seeking motive</t>
  </si>
  <si>
    <t>number of transactions</t>
  </si>
  <si>
    <t>source of finance</t>
  </si>
  <si>
    <t>interval of time between purchase and sale</t>
  </si>
  <si>
    <t>These badges respectively test profit intention, frequency/system, funding method, and speed of resale.</t>
  </si>
  <si>
    <t>Complete the badge-purpose mapping: improving an asset and finding purchasers = {gap1}; similar to pre-existing trade activities = {gap2}; gift or inheritance points away from trade = {gap3}.</t>
  </si>
  <si>
    <t>supplementary work and marketing</t>
  </si>
  <si>
    <t>existence of similar trading transactions or interests</t>
  </si>
  <si>
    <t>method of acquisition</t>
  </si>
  <si>
    <t>Supplementary work/marketing and similarity to existing trade point toward trade; gift/inheritance under method of acquisition points away from trade.</t>
  </si>
  <si>
    <t>["supplementary work and marketing","number of transactions","interval between purchase and sale"]</t>
  </si>
  <si>
    <t>["profit-seeking motive","existence of similar trading transactions or interests","source of finance"]</t>
  </si>
  <si>
    <t>["method of acquisition","profit-seeking motive","source of finance"]</t>
  </si>
  <si>
    <t>["method of acquisition","interval of time between purchase and sale","number of transactions"]</t>
  </si>
  <si>
    <t>["number of transactions","profit-seeking motive","supplementary work and marketing"]</t>
  </si>
  <si>
    <t>["source of finance","number of transactions","profit-seeking motive","interval of time between purchase and sale"]</t>
  </si>
  <si>
    <t>["profit-seeking motive","number of transactions","method of acquisition"]</t>
  </si>
  <si>
    <t>[{"line_id":"S5","text":"Clear guidelines for team on security and confidentiality","is_distractor":false},{"line_id":"D1","text":"Rotate the engagement partner annually","is_distractor": true},{"line_id":"S1","text":"Notify relevant parties","is_distractor":false},{"line_id":"S7","text":"Regular review of safeguards","is_distractor":false},{"line_id":"S4","text":"Prevent access to information","is_distractor":false},{"line_id":"D2","text":"Obtain external legal advice on all engagements","is_distractor": true},{"line_id":"S2","text":"Obtain consent to act for them","is_distractor":false},{"line_id":"S6","text":"Confidentiality agreements","is_distractor":false},{"line_id":"S3","text":"Use separate engagement teams","is_distractor":false }]</t>
  </si>
  <si>
    <t>Jack is disposing of a residential property. A {gap1} needs to be made within {gap2) of completion of the disposal. Majority of residential disposals are covered by {gap3} so this really impacts rental properties and second homes</t>
  </si>
  <si>
    <t>["payment", "disposal","payment on account","claim"]</t>
  </si>
  <si>
    <t>payment on account</t>
  </si>
  <si>
    <t>["30","60","90","1 year"]</t>
  </si>
  <si>
    <t>["BADR","letting relief","Private Residence Relief","Incorporation relief"]</t>
  </si>
  <si>
    <t>Private Residence Relief</t>
  </si>
  <si>
    <t>A return and payment on account are due within 60 days of completion of the disposal.</t>
  </si>
  <si>
    <t>Losses in excess of gains arising in the tax year that a person dies can be carried back {gap1} years on a {gap2} basis and are set off {gap3} the AEA</t>
  </si>
  <si>
    <t>["3","4"]</t>
  </si>
  <si>
    <t>"["FIFO","LIFO"]</t>
  </si>
  <si>
    <t>LIFO</t>
  </si>
  <si>
    <t>["before","after"]</t>
  </si>
  <si>
    <t>after</t>
  </si>
  <si>
    <t>Three years on a LIFO basis. Carried back losses are set off after AEA.</t>
  </si>
  <si>
    <t>aggregate proceeds</t>
  </si>
  <si>
    <t>["more", "less"]</t>
  </si>
  <si>
    <t>["200,000","£20,000","£2000"]</t>
  </si>
  <si>
    <t>["2%","20%","5%"]</t>
  </si>
  <si>
    <t xml:space="preserve">Small part disposals mean the disposal can be ignored and the proceeds deducted from cost. There are three cases: small land disposals, small part disposals and damaged assets. The criteria for small land disposals are {gap1} from sales of land and buildings in the tax year must be {gap2} than {gap3} and proceeds are {gap4} than {gap5} of market value. </t>
  </si>
  <si>
    <t>We call this the 20:20 rule. A claim must be made by the first anniversary of 31 Jan following end of the tax year.</t>
  </si>
  <si>
    <t>Small part disposals mean the disposal can be ignored and the proceeds deducted from cost. There are three cases: small land disposals, small part disposals and damaged assets. The criteria for small part disposals are procceds must be {gap1} than {gap2} or {gap3}. Common examples are {gap4} and sale of rights issue - mil paid. This relief is {gap5}.</t>
  </si>
  <si>
    <r>
      <t xml:space="preserve">["aggregate proceeds", </t>
    </r>
    <r>
      <rPr>
        <b/>
        <sz val="11"/>
        <color theme="1"/>
        <rFont val="Calibri"/>
        <family val="2"/>
        <scheme val="minor"/>
      </rPr>
      <t>"</t>
    </r>
    <r>
      <rPr>
        <sz val="11"/>
        <color theme="1"/>
        <rFont val="Calibri"/>
        <family val="2"/>
        <scheme val="minor"/>
      </rPr>
      <t>disaggregated proceeds", "costs"]</t>
    </r>
  </si>
  <si>
    <t>["£1000", "£2000", "£3000"]</t>
  </si>
  <si>
    <t>["5%","10%","15%","20%"]</t>
  </si>
  <si>
    <t>["Takeovers share component", "Takeovers cash component"]</t>
  </si>
  <si>
    <t>Takeovers cash component</t>
  </si>
  <si>
    <t>["claimable","automatic"]</t>
  </si>
  <si>
    <t>automatic</t>
  </si>
  <si>
    <t>Small part disposals mean the disposal can be ignored and the proceeds deducted from cost. There are three cases: small land disposals, small part disposals and damaged assets. The criteria for damaged asset part disposals are proceeds are {gap1} used to restore asset, proceeds are partly unused and the unused portion is {gap2} than {gap3} or {gap4}, or compensation relieved is also under this limit.</t>
  </si>
  <si>
    <t>["wholly","partly","not"]</t>
  </si>
  <si>
    <t>wholly</t>
  </si>
  <si>
    <t>["net book value","tax write down value","market value"]</t>
  </si>
  <si>
    <t>["current","current and past","future","current and future"]</t>
  </si>
  <si>
    <t>current and future</t>
  </si>
  <si>
    <t>Buying and selling assets to connected persons takes place at {gap1} of asset. Losses from sales to connected persons can only be relieved against {gap2} gains to the same connected person</t>
  </si>
  <si>
    <t xml:space="preserve">Payment </t>
  </si>
  <si>
    <t>written</t>
  </si>
  <si>
    <t>Death</t>
  </si>
  <si>
    <t>Small part disposals</t>
  </si>
  <si>
    <t>small_part_disposals</t>
  </si>
  <si>
    <t>poa</t>
  </si>
  <si>
    <t>death</t>
  </si>
  <si>
    <t>BADR and goodwill</t>
  </si>
  <si>
    <t>BADR and EMI</t>
  </si>
  <si>
    <t>BADR associated disposals</t>
  </si>
  <si>
    <t>BADR claim</t>
  </si>
  <si>
    <t>PAYMENT</t>
  </si>
  <si>
    <t>DEATH</t>
  </si>
  <si>
    <t>SMALLPARTDISPOSAL</t>
  </si>
  <si>
    <t>BADR</t>
  </si>
  <si>
    <t>["is","is not"]</t>
  </si>
  <si>
    <t>is not</t>
  </si>
  <si>
    <t>["15","28","30","31"]</t>
  </si>
  <si>
    <t xml:space="preserve">Shares acquired under EMI schemes are exempt from the {gap1} and {gap2} BADR requirements? </t>
  </si>
  <si>
    <t>["5% ownership personal company", "trading company", "held for 2 years","worked there"]</t>
  </si>
  <si>
    <t>5% ownership</t>
  </si>
  <si>
    <t>held for 2 years</t>
  </si>
  <si>
    <t>The ownership period is calculated from date of grant</t>
  </si>
  <si>
    <t>A claim for BADR must be made by {gap1}</t>
  </si>
  <si>
    <t>31 Jan following tax year of disposal</t>
  </si>
  <si>
    <t>BADR is also available on associated disposals when they sell a separate asset at the same time as the sale of a qualifying company. Jon, in addition to seeling his business, also has a shop let out to the business for 20% market rent. {gap1}% of the shop is available for BADR and {gap2}% will be taxed as "other"?</t>
  </si>
  <si>
    <t>["20%","80%"]</t>
  </si>
  <si>
    <t>Incorporation relief</t>
  </si>
  <si>
    <t>incorporation;conditions</t>
  </si>
  <si>
    <t>INCORP</t>
  </si>
  <si>
    <t>For incorporation relief to apply, complete the conditions: transfer of {gap1}; transfer as a {gap2}; and consideration wholly or partly in {gap3}.</t>
  </si>
  <si>
    <t>["all assets (except cash)", "selected chargeable assets", "only trading stock"]</t>
  </si>
  <si>
    <t>all assets (except cash)</t>
  </si>
  <si>
    <t>["going concern", "piecemeal disposal", "liquidation"]</t>
  </si>
  <si>
    <t>going concern</t>
  </si>
  <si>
    <t>["shares", "cash only", "loan notes only"]</t>
  </si>
  <si>
    <t>All three conditions are required: all assets except cash, transfer as a going concern, and share consideration (at least in part).</t>
  </si>
  <si>
    <t>Identify the two true condition statements: (1) cash may be retained while {gap1} must transfer; (2) business must transfer as a {gap2}; (3) consideration must be entirely cash = false.</t>
  </si>
  <si>
    <t>["all other assets", "no assets", "only goodwill"]</t>
  </si>
  <si>
    <t>all other assets</t>
  </si>
  <si>
    <t>["going concern", "capital reduction", "cessation after transfer"]</t>
  </si>
  <si>
    <t>Cash is excluded from the all-assets condition, but the rest of the business assets must transfer and the transfer must be as a going concern.</t>
  </si>
  <si>
    <t>incorporation;BADR</t>
  </si>
  <si>
    <t>Computation reminder: first split total gain into {gap1} and {gap2} components before applying relief claims.</t>
  </si>
  <si>
    <t>["BADR-eligible", "indexation", "exempt"]</t>
  </si>
  <si>
    <t>BADR-eligible</t>
  </si>
  <si>
    <t>["non-BADR", "income tax", "SBA"]</t>
  </si>
  <si>
    <t>non-BADR</t>
  </si>
  <si>
    <t>Exam technique: separate BADR-eligible and non-BADR gains first, then apply incorporation relief / BADR logic to the relevant amounts.</t>
  </si>
  <si>
    <t>incorporation;operation</t>
  </si>
  <si>
    <t>Incorporation relief operates by {gap1} net gains into the {gap2} of shares received from the company.</t>
  </si>
  <si>
    <t>["deferring", "exempting", "rebasing"]</t>
  </si>
  <si>
    <t>deferring</t>
  </si>
  <si>
    <t>["base cost", "market value", "issue premium account"]</t>
  </si>
  <si>
    <t>base cost</t>
  </si>
  <si>
    <t>The gain is not eliminated; it is deferred by reducing the base cost of shares taken as consideration.</t>
  </si>
  <si>
    <t>Where incorporation relief applies, gains are deferred (possibly only in part) into share base cost, so tax is typically paid when shares are {gap1} or if relief is {gap2} by election.</t>
  </si>
  <si>
    <t>["disposed of", "issued", "subdivided"]</t>
  </si>
  <si>
    <t>disposed of</t>
  </si>
  <si>
    <t>["disapplied", "enhanced", "indexed"]</t>
  </si>
  <si>
    <t>disapplied</t>
  </si>
  <si>
    <t>Relief is automatic but can be disapplied by election; deferred gains are crystallised later on a relevant disposal.</t>
  </si>
  <si>
    <t>EIS reinvestment relief</t>
  </si>
  <si>
    <t>eis;timing</t>
  </si>
  <si>
    <t>EISRR</t>
  </si>
  <si>
    <t>EIS issue timing for deferral: shares must be issued from {gap1} year before to {gap2} years after the disposal.</t>
  </si>
  <si>
    <t>EIS reinvestment relief uses a 1-year-before to 3-years-after issue window.</t>
  </si>
  <si>
    <t>eis;claim</t>
  </si>
  <si>
    <t>Claim mechanics: maximum deferred gain is lower of {gap1} and amount specified in the {gap2}; claim deadline is 5 years from 31 January after end of tax year of {gap3}.</t>
  </si>
  <si>
    <t>["amount subscribed for EIS shares", "annual exempt amount", "share disposal proceeds"]</t>
  </si>
  <si>
    <t>amount subscribed for EIS shares</t>
  </si>
  <si>
    <t>["claim", "election to disapply", "tax return amendment only"]</t>
  </si>
  <si>
    <t>claim</t>
  </si>
  <si>
    <t>["share issue", "asset disposal", "payment date"]</t>
  </si>
  <si>
    <t>share issue</t>
  </si>
  <si>
    <t>Deferral is capped by subscription and claim amount, with the time limit linked to the tax year of EIS share issue.</t>
  </si>
  <si>
    <t>eis;chargeable_event</t>
  </si>
  <si>
    <t>Deferred EIS gain becomes chargeable on events such as: shares {gap1}, investor becomes {gap2} resident within 3 years, or shares cease to be {gap3}.</t>
  </si>
  <si>
    <t>["disposed of", "bonus issued", "rights waived"]</t>
  </si>
  <si>
    <t>["non-UK", "UK ordinarily", "temporarily"]</t>
  </si>
  <si>
    <t>non-UK</t>
  </si>
  <si>
    <t>["eligible for relief", "quoted", "preference"]</t>
  </si>
  <si>
    <t>eligible for relief</t>
  </si>
  <si>
    <t>Chargeability events include disposal, relevant residence breaches, and loss of EIS qualifying status.</t>
  </si>
  <si>
    <t>EIS vs SEIS reinvestment relief</t>
  </si>
  <si>
    <t>eis;seis;difference</t>
  </si>
  <si>
    <t>EISSEIS</t>
  </si>
  <si>
    <t>Contrast reminder: EIS reinvestment relief {gap1} gains, whereas SEIS reinvestment relief generally {gap2} gains.</t>
  </si>
  <si>
    <t>["defers", "exempts", "rebases"]</t>
  </si>
  <si>
    <t>defers</t>
  </si>
  <si>
    <t>["exempts", "defers", "accelerates"]</t>
  </si>
  <si>
    <t>exempts</t>
  </si>
  <si>
    <t>Core exam distinction: EIS = deferral; SEIS = exemption (subject to conditions and possible clawback).</t>
  </si>
  <si>
    <t>eis;withdrawal</t>
  </si>
  <si>
    <t>If a chargeability event occurs, EIS deferral relief is effectively {gap1} and the deferred gain is taxed in the year of the {gap2}, not the original disposal year.</t>
  </si>
  <si>
    <t>["reversed", "increased", "banked"]</t>
  </si>
  <si>
    <t>reversed</t>
  </si>
  <si>
    <t>["event", "claim", "subscription"]</t>
  </si>
  <si>
    <t>event</t>
  </si>
  <si>
    <t>Relief unwinds by bringing back the deferred gain when a trigger event happens.</t>
  </si>
  <si>
    <t>SEIS reinvestment relief</t>
  </si>
  <si>
    <t>seis;timing</t>
  </si>
  <si>
    <t>SEISRR</t>
  </si>
  <si>
    <t>SEIS timing condition: disposal and qualifying SEIS subscription must be in the {gap1} tax year.</t>
  </si>
  <si>
    <t>["same", "following", "previous"]</t>
  </si>
  <si>
    <t>SEIS reinvestment relief requires matching within the same tax year (subject to specific previous-year treatment rules where relevant).</t>
  </si>
  <si>
    <t>seis;claim</t>
  </si>
  <si>
    <t>SEIS claim limits: relief is lower of {gap1} of matched gain and amount specified in the {gap2}; claim time limit is 5 years from 31 January after tax year of share {gap3}.</t>
  </si>
  <si>
    <t>["50%", "100%", "25%"]</t>
  </si>
  <si>
    <t>["claim", "election to disapply", "clearance"]</t>
  </si>
  <si>
    <t>["issue", "disposal", "sale"]</t>
  </si>
  <si>
    <t>issue</t>
  </si>
  <si>
    <t>SEIS reinvestment relief is claim-based, capped at 50% of matched gain and subject to the statutory time limit.</t>
  </si>
  <si>
    <t>seis;chargeable</t>
  </si>
  <si>
    <t>When SEIS relief is withdrawn, a {gap1} gain is treated as arising in the tax year the shares were {gap2}.</t>
  </si>
  <si>
    <t>["chargeable", "allowable", "indexed"]</t>
  </si>
  <si>
    <t>chargeable</t>
  </si>
  <si>
    <t>["issued", "disposed of", "acquired by gift"]</t>
  </si>
  <si>
    <t>issued</t>
  </si>
  <si>
    <t>Clawback is effected by a deemed chargeable gain in the original issue year.</t>
  </si>
  <si>
    <t>seis;eis;difference</t>
  </si>
  <si>
    <t>Difference test: EIS reinvestment relief usually {gap1} gain; SEIS reinvestment relief usually {gap2} gain.</t>
  </si>
  <si>
    <t>["defers", "exempts", "crystallises"]</t>
  </si>
  <si>
    <t>["exempts", "defers", "re-bases"]</t>
  </si>
  <si>
    <t>SEIS is exemption-based (not deferral-based), unlike EIS.</t>
  </si>
  <si>
    <t>seis;withdrawal</t>
  </si>
  <si>
    <t>Withdrawal rules: disposal within {gap1} years can reduce/withdraw relief; if disposal is not at arm's length, {gap2} of attributable relief is withdrawn.</t>
  </si>
  <si>
    <t>["3", "2", "5"]</t>
  </si>
  <si>
    <t>["all", "half", "none"]</t>
  </si>
  <si>
    <t>all</t>
  </si>
  <si>
    <t>SEIS relief can be withdrawn on early disposal; non-arm's-length disposal triggers full withdrawal for those shares.</t>
  </si>
  <si>
    <t>EIS/SEIS reinvestment relief</t>
  </si>
  <si>
    <t>["last day of the tax year","31 Jan following tax year of disposal","31 Jan 1 year anniversary","31 Jan 2 year anniversary"]</t>
  </si>
  <si>
    <t xml:space="preserve">The general rule is that goodwill {gap1} eleigible for BADR if it is disposed by an individual to a close company where the individual and close company are related (i.e. a shareholder, so a sole trader incorporating). The restriction is relaxed if the individual holds {gap2} than 5% of the shares or holds {gap3} than and sells all their shares to another company within {gap3} days. </t>
  </si>
  <si>
    <t>Filing, payment and claims deadlines</t>
  </si>
  <si>
    <t>deadlines;claims</t>
  </si>
  <si>
    <t>user_supplied</t>
  </si>
  <si>
    <t>What is the filing date for paper self-assessment returns?</t>
  </si>
  <si>
    <t>31 October after end of tax year</t>
  </si>
  <si>
    <t>31 January after end of tax year</t>
  </si>
  <si>
    <t>5 October after end of tax year</t>
  </si>
  <si>
    <t>13 March - 3 months from notice date because it's after the October/January deadline</t>
  </si>
  <si>
    <t>31 January (or 31 October if paper)</t>
  </si>
  <si>
    <t>What is the filing date for electronic self-assessment returns?</t>
  </si>
  <si>
    <t>Tax the difference and NIC at the marignal rate</t>
  </si>
  <si>
    <t>What date must an individual notify HMRC of chargeability to income tax and CGT?</t>
  </si>
  <si>
    <t>13 March Year 2 - 12 months from due filing date</t>
  </si>
  <si>
    <t>HMRC issued a notice on 14 December requiring the taxpayer to file - what is the filing date?</t>
  </si>
  <si>
    <t>Within 12 months of the due filing date (i.e. 31 January Year 2)</t>
  </si>
  <si>
    <t>HMRC issued a notice on 16 May requiring the taxpayer to file - what is the filing date?</t>
  </si>
  <si>
    <t>11 January - within 9 months from the actual filing date</t>
  </si>
  <si>
    <t>A sole trader has made an error on his tax return - how do you calculate the PLR?</t>
  </si>
  <si>
    <t>31 January during tax year and 31 July following tax year</t>
  </si>
  <si>
    <t>HMRC issued a notice on 14 December - what is the deadline for the taxpayer to make an amendment?</t>
  </si>
  <si>
    <t>31 January following end of the tax year</t>
  </si>
  <si>
    <t>What is the standard deadline for the taxpayer to make an amendment?</t>
  </si>
  <si>
    <t>60 days of completion of the disposal</t>
  </si>
  <si>
    <t>The return was actually filed on 11 April - what is the deadline for HMRC to make an amendment?</t>
  </si>
  <si>
    <t>1 December Year 2 - one year from the actual filing date</t>
  </si>
  <si>
    <t>What are the dates of Income Tax and Class 4 NICs payments on account?</t>
  </si>
  <si>
    <t>30 April Year 2 - the quarter day following the first anniversary of the filing date</t>
  </si>
  <si>
    <t>What is the payable date of any CGT (not residential property) or balancing payment?</t>
  </si>
  <si>
    <t>One year from the due filing date</t>
  </si>
  <si>
    <t>What is the payable date for disposal of residential property for CGT?</t>
  </si>
  <si>
    <t>9 months from the actual filing date</t>
  </si>
  <si>
    <t>The return was filed on early on 1 December - what is the deadline for HMRC to give notice of a compliance check?</t>
  </si>
  <si>
    <t>Quarter date following the first anniversary of the actual filing date</t>
  </si>
  <si>
    <t>The return was filed late on 1 March - what is the deadline for HMRC to give notice of a compliance check?</t>
  </si>
  <si>
    <t>One year from the actual filing date</t>
  </si>
  <si>
    <t>The tax payer wants to make an amendment to their return - is the deadline one year or nine months? Is it from the actual filing date or the due filing date?</t>
  </si>
  <si>
    <t>Must be made by 31 January, 22 months after end of tax year of the loss</t>
  </si>
  <si>
    <t>HMRC wants to make an amendment to a return - is the deadline one year or nine months? Is it from the actual filing date or the due filing date?</t>
  </si>
  <si>
    <t>Must be made within 4 years of end of tax year of the loss</t>
  </si>
  <si>
    <t>The return was filed late - what is HMRC's deadline to notify a compliance check?</t>
  </si>
  <si>
    <t>Must be made within 4 years of end of last tax year of trading</t>
  </si>
  <si>
    <t>The return was filed on time - what is HMRC's deadline to notify a compliance check?</t>
  </si>
  <si>
    <t>Must be made by 31 January, 22 months after end of tax year of the disposal</t>
  </si>
  <si>
    <t>When must a claim be made by individuals for carry back or current period loss relief?</t>
  </si>
  <si>
    <t>Must be made within 4 years of the end of the tax year of the disposal</t>
  </si>
  <si>
    <t>When must a claim be made by individuals for carry forward loss relief?</t>
  </si>
  <si>
    <t>When must a claim be made by an individual for Early Trading Loss Relief?</t>
  </si>
  <si>
    <t>Must be made by the later of four years of the end of the tax year of the disposal or four years of the end of the disposal of the acquisition</t>
  </si>
  <si>
    <t>When must a claim be made by an individual for Terminal Loss Relief?</t>
  </si>
  <si>
    <t>Incorporation relief applies automatically but a claim can be made not to apply within 2 years of 31 January following the end of the tax year</t>
  </si>
  <si>
    <t>When must a claim be made by an individual for Business Asset Disposal Relief?</t>
  </si>
  <si>
    <t>Must be made within 2 years of the end of accounting period of the loss made</t>
  </si>
  <si>
    <t>When must a claim be made by an individual for Investor's Relief?</t>
  </si>
  <si>
    <t>When must a joint claim be made for gift holdover relief?</t>
  </si>
  <si>
    <t>Must be made within 2 years of the end of accounting period of the loss relieved</t>
  </si>
  <si>
    <t>When must a joint claim be made for rollover relief?</t>
  </si>
  <si>
    <t>Must be made within 2 years of the end of the claimant company's profit making period</t>
  </si>
  <si>
    <t>When must a claim be made to not apply incorporation releif</t>
  </si>
  <si>
    <t>Joint election within two years of end of disposing company's account period</t>
  </si>
  <si>
    <t>When must a claim be made by a company for carry back or current period loss relief?</t>
  </si>
  <si>
    <t>30 April after end of tax year</t>
  </si>
  <si>
    <t>When must a claim be made by a company to use and quantify amount of carry forward loss relief?</t>
  </si>
  <si>
    <t>6 months from end of month of transfer</t>
  </si>
  <si>
    <t>When must a claim be made by a group for current period or carry forward group relief?</t>
  </si>
  <si>
    <t>6 months from end of month of death</t>
  </si>
  <si>
    <t>When must a claim be made by a group to transfer group gains and losses?</t>
  </si>
  <si>
    <t>6 months from end of month of death or on delivery of account by PR if earlier</t>
  </si>
  <si>
    <t>What is the payment due date for lifetime transfers made 6 Apr - 30 Sept?</t>
  </si>
  <si>
    <t>Fewer than 16 days in the UK during tax year</t>
  </si>
  <si>
    <t>What is the payment due date for lifetime transfers made 1 Oct - 5 April?</t>
  </si>
  <si>
    <t>Fewer than 46 days in UK during tax year and not resident during previous 3 tax years</t>
  </si>
  <si>
    <t>What is the payment due date for the death tax on lifetime gifts?</t>
  </si>
  <si>
    <t>Fewer than 91 days in UK during tax year and work full time overseas</t>
  </si>
  <si>
    <t>What is the payment due date for the death tax on the death estate?</t>
  </si>
  <si>
    <t>183 days or more in UK during tax year</t>
  </si>
  <si>
    <t>Which of the following is an automatic overseas test?</t>
  </si>
  <si>
    <t>Only home in UK</t>
  </si>
  <si>
    <t>Full time work in UK during tax year</t>
  </si>
  <si>
    <t>Spouse or child in UK</t>
  </si>
  <si>
    <t>Which of the following is an automatic UK test?</t>
  </si>
  <si>
    <t>Accommodation in UK and spent at least one night there</t>
  </si>
  <si>
    <t>At least 40 days working 3 hours a day in the UK</t>
  </si>
  <si>
    <t>Being in UK for more than 90 days during either of the two previous tax years</t>
  </si>
  <si>
    <t>Which of the following is a sufficient tie?</t>
  </si>
  <si>
    <t>If previously UK resident in last three tax years, spending more time in the UK than anywhere else</t>
  </si>
  <si>
    <t>Within three months of the beginning of its first accounting period</t>
  </si>
  <si>
    <t>If HMRC does not issue notice, company must notify within 12 months of end of accounting period</t>
  </si>
  <si>
    <t>Later of 12 months from end of accounting period or three months from notification</t>
  </si>
  <si>
    <t>Nine months and one day after end of accounting period</t>
  </si>
  <si>
    <t>When must a company notify HMRC of its first accounting periof?</t>
  </si>
  <si>
    <t>Quarterly instalments on the 14th of months 7, 10, 13, 16</t>
  </si>
  <si>
    <t>When must a company notify HMRC of its chargeability for coporation tax?</t>
  </si>
  <si>
    <t>1st installment 14th of month 7…. Last instalment ALWAYS due 14th of 4th month at the end of accounting period</t>
  </si>
  <si>
    <t>When must a company file its corporation tax return?</t>
  </si>
  <si>
    <t>Within 12 months of filing date</t>
  </si>
  <si>
    <t>When must a company (not large) file pay its coropration tax?</t>
  </si>
  <si>
    <t>6 years from end of accounting period</t>
  </si>
  <si>
    <t>When must a large company with a 12 month accounting period pay it corporation tax?</t>
  </si>
  <si>
    <t>HMRC to give notice by first anniversary of filing date</t>
  </si>
  <si>
    <t>When must a large company with a short accounting period pay it corporation tax?</t>
  </si>
  <si>
    <t>Quarter day following the first anniversary of actual filing date</t>
  </si>
  <si>
    <t>When can a company amend its corporation tax return?</t>
  </si>
  <si>
    <t>How long must a company keep it srecords?</t>
  </si>
  <si>
    <t>TAXDEAD</t>
  </si>
  <si>
    <t>Filing rules</t>
  </si>
  <si>
    <t>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</si>
</sst>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7"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
      <sz val="11"/>
      <color rgb="FF000000"/>
      <name val="Calibri"/>
      <family val="2"/>
      <scheme val="minor"/>
    </font>
    <font>
      <b/>
      <sz val="11"/>
      <color theme="1"/>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xf numFmtId="0" fontId="5" fillId="0" borderId="0" xfId="0" applyFont="1"/>
    <xf numFmtId="9" fontId="5" fillId="0" borderId="0" xfId="0" applyNumberFormat="1" applyFont="1"/>
    <xf numFmtId="6" fontId="0" fillId="0" borderId="0" xfId="0" applyNumberFormat="1" applyAlignment="1">
      <alignment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0" dataDxfId="79">
  <autoFilter ref="A1:V144" xr:uid="{3458AFC2-2145-426B-9AC1-99CDC50227C5}"/>
  <tableColumns count="22">
    <tableColumn id="1" xr3:uid="{3143F177-F819-460E-B2A9-7D5DF7E40EF8}" name="question_id" dataDxfId="78">
      <calculatedColumnFormula>IF(M2="","",M2&amp;"_"&amp;TEXT(N2,"000"))</calculatedColumnFormula>
    </tableColumn>
    <tableColumn id="2" xr3:uid="{590E99E6-E7E0-4850-B349-788F35665CFB}" name="topic" dataDxfId="77"/>
    <tableColumn id="3" xr3:uid="{0E1102D9-5102-4F5F-94D2-8CDF0342B713}" name="component" dataDxfId="76"/>
    <tableColumn id="4" xr3:uid="{53167456-D2D6-46F5-902F-E25B72847760}" name="subtopic" dataDxfId="75"/>
    <tableColumn id="5" xr3:uid="{4A660E62-FD15-4B74-8FBC-1B8A2BAB6305}" name="question_type" dataDxfId="74"/>
    <tableColumn id="6" xr3:uid="{039025CC-846C-46D7-B1D9-63E3BAF69C9A}" name="difficulty" dataDxfId="73"/>
    <tableColumn id="7" xr3:uid="{996F048C-5FD0-410B-88A3-192D3E6417E2}" name="priority" dataDxfId="72"/>
    <tableColumn id="8" xr3:uid="{EECF5330-4BBC-4ED3-B9D0-64317766CBE4}" name="active" dataDxfId="71"/>
    <tableColumn id="9" xr3:uid="{CBAF624D-83AD-45AD-8500-A2E7B1F24794}" name="tags" dataDxfId="70"/>
    <tableColumn id="10" xr3:uid="{95517BC8-09AC-46E6-AF79-F48569B6E3B4}" name="source_ref" dataDxfId="69"/>
    <tableColumn id="11" xr3:uid="{0ADA81E5-57A0-454C-BA26-289888F2A40C}" name="version" dataDxfId="68"/>
    <tableColumn id="12" xr3:uid="{91DFC1B0-44F2-4CAB-869F-2A1536A924E3}" name="subtopic_code" dataDxfId="67"/>
    <tableColumn id="13" xr3:uid="{DD40E926-33DD-466F-A912-E8459B494AEC}" name="id_prefix" dataDxfId="66">
      <calculatedColumnFormula>IF(B2="","","MCQ"&amp;"_"&amp;IFERROR(VLOOKUP(B2,LOOKUPS!$K$2:$L$10,2,FALSE),"UNK")&amp;"_"&amp;IFERROR(VLOOKUP(C2,LOOKUPS!$N$2:$O$10,2,FALSE),"UNK")&amp;"_"&amp;UPPER(L2))</calculatedColumnFormula>
    </tableColumn>
    <tableColumn id="14" xr3:uid="{B91893FC-B206-4333-AA9F-C9D2E6E88ACB}" name="next_seq" dataDxfId="65">
      <calculatedColumnFormula>IF(M2="","",COUNTIF($M$2:M2,M2))</calculatedColumnFormula>
    </tableColumn>
    <tableColumn id="15" xr3:uid="{1078EC50-F43B-43D7-97FF-5DF911C915E9}" name="prompt" dataDxfId="64"/>
    <tableColumn id="16" xr3:uid="{09037EB0-2F5E-423E-A0B0-A6FA96AAD55C}" name="option_a" dataDxfId="63"/>
    <tableColumn id="17" xr3:uid="{15DBBA40-E39C-49BC-A29D-15E22618204B}" name="option_b" dataDxfId="62"/>
    <tableColumn id="18" xr3:uid="{0DD51665-D870-4BD5-AE89-AC0E7B104E33}" name="option_c" dataDxfId="61"/>
    <tableColumn id="19" xr3:uid="{F03E2272-D332-4A35-A9A4-1207B0516B62}" name="option_d" dataDxfId="60"/>
    <tableColumn id="20" xr3:uid="{2094478F-A251-4AEF-8340-6DC80238A2B4}" name="option_e" dataDxfId="59"/>
    <tableColumn id="21" xr3:uid="{C7639FD0-0BCA-4C05-B93C-0446381E2D4C}" name="correct_option" dataDxfId="58"/>
    <tableColumn id="22" xr3:uid="{F4B67840-87C2-4942-BF58-96478C0C83A8}" name="explanation" dataDxfId="5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111" dataDxfId="110">
  <autoFilter ref="A1:AC169" xr:uid="{F0BC66BE-4E93-4072-A344-FDCACD8C00F6}"/>
  <tableColumns count="29">
    <tableColumn id="1" xr3:uid="{3B955206-414A-482E-8FC0-84A96C4CF49D}" name="question_id" dataDxfId="109">
      <calculatedColumnFormula>IF(M2="","",M2&amp;"_"&amp;TEXT(N2,"000"))</calculatedColumnFormula>
    </tableColumn>
    <tableColumn id="2" xr3:uid="{53027823-F0F6-4E94-8AA1-7C6222262D18}" name="topic" dataDxfId="108"/>
    <tableColumn id="3" xr3:uid="{FD05D5D8-FEA8-48A4-A203-0640D7E619F3}" name="component" dataDxfId="107"/>
    <tableColumn id="4" xr3:uid="{6C2A5CA5-1F90-40D0-A5FA-2742635ABD9A}" name="subtopic" dataDxfId="106"/>
    <tableColumn id="5" xr3:uid="{2B0B69B7-AE58-4CB1-B966-1041649BA116}" name="question_type" dataDxfId="105"/>
    <tableColumn id="6" xr3:uid="{C38B8210-1ACE-45F9-9CAE-F367DA3457ED}" name="difficulty" dataDxfId="104"/>
    <tableColumn id="7" xr3:uid="{53156DAB-1E60-4E68-A9F0-DEDD057BE1AC}" name="priority" dataDxfId="103"/>
    <tableColumn id="8" xr3:uid="{1A85DF8A-ED45-47D7-A6CE-49487F67719B}" name="active" dataDxfId="102"/>
    <tableColumn id="9" xr3:uid="{69D5925E-FDC6-4D60-8287-CD87D72B5723}" name="tags" dataDxfId="101"/>
    <tableColumn id="10" xr3:uid="{0E5E2BA0-7572-4684-9AAE-4051BB319822}" name="source_ref" dataDxfId="100"/>
    <tableColumn id="11" xr3:uid="{B3ED8671-D7AC-48C1-917D-C7E1740038CA}" name="version" dataDxfId="99"/>
    <tableColumn id="12" xr3:uid="{45CE182C-3F25-456B-AAEF-C30193AACF0B}" name="subtopic_code" dataDxfId="98"/>
    <tableColumn id="13" xr3:uid="{78AA824C-B13F-429B-94FD-D39E31754843}" name="id_prefix" dataDxfId="97">
      <calculatedColumnFormula>IF(B2="","","AB"&amp;"_"&amp;IFERROR(VLOOKUP(B2,LOOKUPS!$K$2:$L$10,2,FALSE),"UNK")&amp;"_"&amp;IFERROR(VLOOKUP(C2,LOOKUPS!$N$2:$O$10,2,FALSE),"UNK")&amp;"_"&amp;UPPER(L2))</calculatedColumnFormula>
    </tableColumn>
    <tableColumn id="14" xr3:uid="{57DABC95-1398-407F-818F-E602994B1CF6}" name="next_seq" dataDxfId="96">
      <calculatedColumnFormula>IF(M2="","",COUNTIF($M$2:M2,M2))</calculatedColumnFormula>
    </tableColumn>
    <tableColumn id="15" xr3:uid="{9B2B78EF-2FEE-4BC0-A5FA-D4C2889E74AC}" name="prompt_template" dataDxfId="95"/>
    <tableColumn id="16" xr3:uid="{A8DA9CBD-4C5A-43D0-919E-806E91BEF2EC}" name="gap_count" dataDxfId="94"/>
    <tableColumn id="17" xr3:uid="{F27057E5-A92F-418A-9046-13198E5C9905}" name="choice_a" dataDxfId="93"/>
    <tableColumn id="18" xr3:uid="{E02B27C2-2A44-4E0C-BB94-33C75571BE39}" name="choice_b" dataDxfId="92"/>
    <tableColumn id="19" xr3:uid="{BE479B0C-524B-4C87-AA56-13D53F5D58D5}" name="gap1_correct" dataDxfId="91"/>
    <tableColumn id="20" xr3:uid="{FB5A250C-A156-41E2-8727-D9FA40DA2A74}" name="gap1_allow_repeat" dataDxfId="90"/>
    <tableColumn id="21" xr3:uid="{C7905FE7-BED4-4E80-837C-A5AFDEA02E55}" name="gap2_correct" dataDxfId="89"/>
    <tableColumn id="22" xr3:uid="{2BEB549B-37F9-46B5-B769-4E7075E6757F}" name="gap2_allow_repeat" dataDxfId="88"/>
    <tableColumn id="23" xr3:uid="{143FD944-31A1-40F2-A55D-2870E48C6692}" name="gap3_correct" dataDxfId="87"/>
    <tableColumn id="24" xr3:uid="{E4C97B71-682B-49DE-9CAA-066517D57069}" name="gap3_allow_repeat" dataDxfId="86"/>
    <tableColumn id="25" xr3:uid="{F5BF61B5-9AFD-48D4-9EAB-F4AED68F034F}" name="gap4_correct" dataDxfId="85"/>
    <tableColumn id="26" xr3:uid="{E77B49CD-93F0-4B8D-84D6-8F89A4EE54B3}" name="gap4_allow_repeat" dataDxfId="84"/>
    <tableColumn id="27" xr3:uid="{E73C4452-41C3-40FA-9EA3-93520038EF24}" name="gap5_correct" dataDxfId="83"/>
    <tableColumn id="28" xr3:uid="{67789CB9-B40B-4D48-9861-1F300F9603FA}" name="gap5_allow_repeat" dataDxfId="82"/>
    <tableColumn id="29" xr3:uid="{0524B72D-170D-4329-A999-A8626F98ECC5}" name="explanation" dataDxfId="8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6" dataDxfId="55">
  <autoFilter ref="A1:AG200" xr:uid="{E9B73698-D520-45DF-BE06-581F3140E2CF}"/>
  <tableColumns count="33">
    <tableColumn id="1" xr3:uid="{23420D1D-4A05-4D96-AC71-540C3566B6D4}" name="question_id" dataDxfId="54">
      <calculatedColumnFormula>IF(M2="","",M2&amp;"_"&amp;TEXT(N2,"000"))</calculatedColumnFormula>
    </tableColumn>
    <tableColumn id="2" xr3:uid="{DC8B6EB1-DEA7-4C27-ACC9-69DC66E4B88E}" name="topic" dataDxfId="53"/>
    <tableColumn id="3" xr3:uid="{9FF86C9D-41D3-4FA4-B52D-DE409BE4A75A}" name="component" dataDxfId="52"/>
    <tableColumn id="4" xr3:uid="{CF05BD93-E736-4B25-8614-DACA00DAE906}" name="subtopic" dataDxfId="51"/>
    <tableColumn id="5" xr3:uid="{3B32BF91-E453-4825-B02A-C9BC262C6501}" name="question_type" dataDxfId="50"/>
    <tableColumn id="6" xr3:uid="{C453CAE0-2DF7-4300-96BF-5974156B83E9}" name="difficulty" dataDxfId="49"/>
    <tableColumn id="7" xr3:uid="{B0E77438-C755-4693-AFFA-FE5BF50CA179}" name="priority" dataDxfId="48"/>
    <tableColumn id="8" xr3:uid="{BD79D28D-84B7-48E4-9C88-D55EFAAC128A}" name="active" dataDxfId="47"/>
    <tableColumn id="9" xr3:uid="{3600A004-FB06-48AA-A47D-E8E1DBCBBD75}" name="tags" dataDxfId="46"/>
    <tableColumn id="10" xr3:uid="{484D9A70-6E15-4F60-B434-8A4FB8281401}" name="source_ref" dataDxfId="45"/>
    <tableColumn id="11" xr3:uid="{EE94405E-C69D-448E-AC70-52FDAF43EBE9}" name="version" dataDxfId="44"/>
    <tableColumn id="12" xr3:uid="{EDE5DE77-4198-4D58-92AD-0C6FF2D96198}" name="subtopic_code" dataDxfId="43"/>
    <tableColumn id="13" xr3:uid="{7AB24E72-5B7E-414E-A308-A75760161DBB}" name="id_prefix" dataDxfId="42">
      <calculatedColumnFormula>IF(B2="","","LIST"&amp;"_"&amp;IFERROR(VLOOKUP(B2,LOOKUPS!$K$2:$L$10,2,FALSE),"UNK")&amp;"_"&amp;IFERROR(VLOOKUP(C2,LOOKUPS!$N$2:$O$10,2,FALSE),"UNK")&amp;"_"&amp;UPPER(L2))</calculatedColumnFormula>
    </tableColumn>
    <tableColumn id="14" xr3:uid="{4B76C721-244D-449D-BF23-744114658180}" name="next_seq" dataDxfId="41">
      <calculatedColumnFormula>IF(M2="","",COUNTIF($M$2:M2,M2))</calculatedColumnFormula>
    </tableColumn>
    <tableColumn id="15" xr3:uid="{D95D8A12-9CCC-4D04-88FC-E4C479D3FA48}" name="prompt_template" dataDxfId="40"/>
    <tableColumn id="16" xr3:uid="{DFEE9D8B-25D0-47D1-91CD-27BAF5A2B0C6}" name="gap_count" dataDxfId="39"/>
    <tableColumn id="17" xr3:uid="{4B54EDED-BB6C-4CF9-B4BD-77B72C1AE74B}" name="gap1_options" dataDxfId="0"/>
    <tableColumn id="18" xr3:uid="{18BD33FC-339C-4F30-A820-1E4DADAE51D5}" name="gap1_correct" dataDxfId="38"/>
    <tableColumn id="19" xr3:uid="{43A9E514-1D21-4695-925C-920775974EE5}" name="gap1_allow_repeat" dataDxfId="37"/>
    <tableColumn id="20" xr3:uid="{0C92276E-A5F9-4842-B3B7-DF3087088063}" name="gap2_options" dataDxfId="36"/>
    <tableColumn id="21" xr3:uid="{5406E7DC-2332-49A6-8E05-AA02BA020D80}" name="gap2_correct" dataDxfId="35"/>
    <tableColumn id="22" xr3:uid="{88025412-F321-4D67-AF51-1887302619F1}" name="gap2_allow_repeat" dataDxfId="34"/>
    <tableColumn id="23" xr3:uid="{D286A38F-0421-4573-AB37-656CD478776B}" name="gap3_options" dataDxfId="33"/>
    <tableColumn id="24" xr3:uid="{285479CE-E217-4634-9381-0B4A5327983D}" name="gap3_correct" dataDxfId="32"/>
    <tableColumn id="25" xr3:uid="{1E85105A-3EF1-497C-A227-9A9786DE5761}" name="gap3_allow_repeat" dataDxfId="31"/>
    <tableColumn id="26" xr3:uid="{17D4F9FA-2E8F-40B3-A782-CE1712FEF429}" name="gap4_options" dataDxfId="30"/>
    <tableColumn id="27" xr3:uid="{7FCD686D-B135-4FC9-984F-86069B94E23E}" name="gap4_correct" dataDxfId="29"/>
    <tableColumn id="28" xr3:uid="{01ACCF42-786E-4349-917F-438AB0CFCDAB}" name="gap4_allow_repeat" dataDxfId="28"/>
    <tableColumn id="29" xr3:uid="{AEFF6A1F-711E-4299-8776-D2354BA5BACA}" name="gap5_options" dataDxfId="27"/>
    <tableColumn id="30" xr3:uid="{4C9D15DF-0AEF-4A21-8E7F-C25F24B38036}" name="gap5_correct" dataDxfId="26"/>
    <tableColumn id="31" xr3:uid="{BD273472-5A00-4BB3-9ABB-71585A886E01}" name="gap5_allow_repeat" dataDxfId="25"/>
    <tableColumn id="32" xr3:uid="{85590086-C385-442F-8B44-596E3C01119B}" name="enforce_unique_across_gaps" dataDxfId="24"/>
    <tableColumn id="33" xr3:uid="{B392F52E-81DF-4D51-B364-73E4418D1CA5}" name="explanation" dataDxfId="2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2" dataDxfId="21">
  <autoFilter ref="A1:T200" xr:uid="{9AF4D9C1-FF64-473A-A14E-7E8B7794D33C}"/>
  <tableColumns count="20">
    <tableColumn id="1" xr3:uid="{DF3953CC-F6CA-48A8-B362-3DB144A28B1C}" name="question_id" dataDxfId="20">
      <calculatedColumnFormula>IF(M2="","",M2&amp;"_"&amp;TEXT(N2,"000"))</calculatedColumnFormula>
    </tableColumn>
    <tableColumn id="2" xr3:uid="{B7C3FEC2-CD62-499C-AC65-1F88F7098C32}" name="topic" dataDxfId="19"/>
    <tableColumn id="3" xr3:uid="{FE2F0177-731D-432C-8A5B-9F9373EFFDA5}" name="component" dataDxfId="18"/>
    <tableColumn id="4" xr3:uid="{4240EBF3-C5BF-470A-9949-BE30D5F7F009}" name="subtopic" dataDxfId="17"/>
    <tableColumn id="5" xr3:uid="{7D620D70-554F-4F3D-A441-36BD6B9D4B3F}" name="question_type" dataDxfId="16"/>
    <tableColumn id="6" xr3:uid="{F134E6DC-3407-49BF-BDD9-CC17691B59DA}" name="difficulty" dataDxfId="15"/>
    <tableColumn id="7" xr3:uid="{297F4083-A338-49A2-9858-3CA99B7566DA}" name="priority" dataDxfId="14"/>
    <tableColumn id="8" xr3:uid="{EADB0D92-DBBA-4595-86A9-CC225D6BF45E}" name="active" dataDxfId="13"/>
    <tableColumn id="9" xr3:uid="{5CDF48CA-7DE2-4FC2-AE5B-76546C51FA76}" name="tags" dataDxfId="12"/>
    <tableColumn id="10" xr3:uid="{CBB40C3B-89F6-492E-9EF7-1608F76B6960}" name="source_ref" dataDxfId="11"/>
    <tableColumn id="11" xr3:uid="{8162DE10-7559-4F34-8269-8312D2CD8D8C}" name="version" dataDxfId="10"/>
    <tableColumn id="12" xr3:uid="{AC0FD800-8ECC-40D0-957C-7E8F2A52221F}" name="subtopic_code" dataDxfId="9"/>
    <tableColumn id="13" xr3:uid="{8621D83B-892D-4532-A540-AFA1F548F6CF}" name="id_prefix" dataDxfId="8">
      <calculatedColumnFormula>IF(B2="","","PF"&amp;"_"&amp;IFERROR(VLOOKUP(B2,LOOKUPS!$K$2:$L$10,2,FALSE),"UNK")&amp;"_"&amp;IFERROR(VLOOKUP(C2,LOOKUPS!$N$2:$O$10,2,FALSE),"UNK")&amp;"_"&amp;UPPER(L2))</calculatedColumnFormula>
    </tableColumn>
    <tableColumn id="14" xr3:uid="{C3522ADD-7243-49BF-A9FD-2035E3CF75D7}" name="next_seq" dataDxfId="7">
      <calculatedColumnFormula>IF(M2="","",COUNTIF($M$2:M2,M2))</calculatedColumnFormula>
    </tableColumn>
    <tableColumn id="15" xr3:uid="{9904B470-9EB2-41C4-9CF4-2292C9367D4C}" name="title" dataDxfId="6"/>
    <tableColumn id="16" xr3:uid="{12F4188F-DD37-47E9-8CEC-8967DB411266}" name="instructions" dataDxfId="5"/>
    <tableColumn id="30" xr3:uid="{2EEA9DB6-3F69-4882-BCD6-27607A87326B}" name="slot_labels_json" dataDxfId="4"/>
    <tableColumn id="27" xr3:uid="{668C5D89-6268-47EA-853F-948B6093BF67}" name="correct_line_ids_json" dataDxfId="3"/>
    <tableColumn id="28" xr3:uid="{1BE0DD35-7F1B-4867-A45B-FBF2F9983BC3}" name="lines_json" dataDxfId="2"/>
    <tableColumn id="29" xr3:uid="{963B0537-5B12-4702-8EDA-F4424960ECC9}" name="explanation"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K10" sqref="K10"/>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818</v>
      </c>
      <c r="K8" t="s">
        <v>47</v>
      </c>
      <c r="L8" t="s">
        <v>49</v>
      </c>
      <c r="N8" t="s">
        <v>818</v>
      </c>
      <c r="O8" t="s">
        <v>819</v>
      </c>
    </row>
    <row r="9" spans="1:15" x14ac:dyDescent="0.3">
      <c r="A9" t="s">
        <v>1304</v>
      </c>
      <c r="C9" t="s">
        <v>820</v>
      </c>
      <c r="K9" t="s">
        <v>1304</v>
      </c>
      <c r="L9" t="s">
        <v>1305</v>
      </c>
      <c r="N9" t="s">
        <v>820</v>
      </c>
      <c r="O9" t="s">
        <v>821</v>
      </c>
    </row>
    <row r="10" spans="1:15" x14ac:dyDescent="0.3">
      <c r="A10" t="s">
        <v>51</v>
      </c>
      <c r="C10" t="s">
        <v>48</v>
      </c>
      <c r="K10" t="s">
        <v>51</v>
      </c>
      <c r="L10" t="s">
        <v>51</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abSelected="1" topLeftCell="A77" workbookViewId="0">
      <pane xSplit="3" topLeftCell="D1" activePane="topRight" state="frozen"/>
      <selection pane="topRight" activeCell="L125" sqref="L125"/>
    </sheetView>
  </sheetViews>
  <sheetFormatPr defaultRowHeight="14.4" x14ac:dyDescent="0.3"/>
  <cols>
    <col min="1" max="2" width="22" style="6" customWidth="1"/>
    <col min="3" max="3" width="18" style="6" customWidth="1"/>
    <col min="4" max="4" width="30.77734375"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55.44140625"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IF(B2="","","MCQ"&amp;"_"&amp;IFERROR(VLOOKUP(B2,LOOKUPS!$K$2:$L$10,2,FALSE),"UNK")&amp;"_"&amp;IFERROR(VLOOKUP(C2,LOOKUPS!$N$2:$O$10,2,FALSE),"UNK")&amp;"_"&amp;UPPER(L2))</f>
        <v>MCQ_ETH_DEF_</v>
      </c>
      <c r="N2" s="3">
        <f>IF(M2="","",COUNTIF($M$2:M2,M2))</f>
        <v>1</v>
      </c>
      <c r="O2" s="3" t="s">
        <v>102</v>
      </c>
      <c r="P2" s="3" t="s">
        <v>108</v>
      </c>
      <c r="Q2" s="3" t="s">
        <v>110</v>
      </c>
      <c r="R2" s="3" t="s">
        <v>107</v>
      </c>
      <c r="S2" s="3" t="s">
        <v>109</v>
      </c>
      <c r="T2" s="3" t="s">
        <v>111</v>
      </c>
      <c r="U2" s="3" t="s">
        <v>223</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IF(B3="","","MCQ"&amp;"_"&amp;IFERROR(VLOOKUP(B3,LOOKUPS!$K$2:$L$10,2,FALSE),"UNK")&amp;"_"&amp;IFERROR(VLOOKUP(C3,LOOKUPS!$N$2:$O$10,2,FALSE),"UNK")&amp;"_"&amp;UPPER(L3))</f>
        <v>MCQ_ETH_DEF_</v>
      </c>
      <c r="N3" s="3">
        <f>IF(M3="","",COUNTIF($M$2:M3,M3))</f>
        <v>2</v>
      </c>
      <c r="O3" s="3" t="s">
        <v>103</v>
      </c>
      <c r="P3" s="3" t="s">
        <v>107</v>
      </c>
      <c r="Q3" s="3" t="s">
        <v>111</v>
      </c>
      <c r="R3" s="3" t="s">
        <v>109</v>
      </c>
      <c r="S3" s="3" t="s">
        <v>110</v>
      </c>
      <c r="T3" s="3" t="s">
        <v>108</v>
      </c>
      <c r="U3" s="3" t="s">
        <v>224</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IF(B4="","","MCQ"&amp;"_"&amp;IFERROR(VLOOKUP(B4,LOOKUPS!$K$2:$L$10,2,FALSE),"UNK")&amp;"_"&amp;IFERROR(VLOOKUP(C4,LOOKUPS!$N$2:$O$10,2,FALSE),"UNK")&amp;"_"&amp;UPPER(L4))</f>
        <v>MCQ_ETH_DEF_</v>
      </c>
      <c r="N4" s="3">
        <f>IF(M4="","",COUNTIF($M$2:M4,M4))</f>
        <v>3</v>
      </c>
      <c r="O4" s="3" t="s">
        <v>104</v>
      </c>
      <c r="P4" s="3" t="s">
        <v>109</v>
      </c>
      <c r="Q4" s="3" t="s">
        <v>108</v>
      </c>
      <c r="R4" s="3" t="s">
        <v>111</v>
      </c>
      <c r="S4" s="3" t="s">
        <v>107</v>
      </c>
      <c r="T4" s="3" t="s">
        <v>110</v>
      </c>
      <c r="U4" s="3" t="s">
        <v>131</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IF(B5="","","MCQ"&amp;"_"&amp;IFERROR(VLOOKUP(B5,LOOKUPS!$K$2:$L$10,2,FALSE),"UNK")&amp;"_"&amp;IFERROR(VLOOKUP(C5,LOOKUPS!$N$2:$O$10,2,FALSE),"UNK")&amp;"_"&amp;UPPER(L5))</f>
        <v>MCQ_ETH_DEF_</v>
      </c>
      <c r="N5" s="3">
        <f>IF(M5="","",COUNTIF($M$2:M5,M5))</f>
        <v>4</v>
      </c>
      <c r="O5" s="3" t="s">
        <v>105</v>
      </c>
      <c r="P5" s="3" t="s">
        <v>107</v>
      </c>
      <c r="Q5" s="3" t="s">
        <v>110</v>
      </c>
      <c r="R5" s="3" t="s">
        <v>108</v>
      </c>
      <c r="S5" s="3" t="s">
        <v>111</v>
      </c>
      <c r="T5" s="3" t="s">
        <v>109</v>
      </c>
      <c r="U5" s="3" t="s">
        <v>225</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IF(B6="","","MCQ"&amp;"_"&amp;IFERROR(VLOOKUP(B6,LOOKUPS!$K$2:$L$10,2,FALSE),"UNK")&amp;"_"&amp;IFERROR(VLOOKUP(C6,LOOKUPS!$N$2:$O$10,2,FALSE),"UNK")&amp;"_"&amp;UPPER(L6))</f>
        <v>MCQ_ETH_DEF_</v>
      </c>
      <c r="N6" s="3">
        <f>IF(M6="","",COUNTIF($M$2:M6,M6))</f>
        <v>5</v>
      </c>
      <c r="O6" s="3" t="s">
        <v>106</v>
      </c>
      <c r="P6" s="3" t="s">
        <v>108</v>
      </c>
      <c r="Q6" s="3" t="s">
        <v>109</v>
      </c>
      <c r="R6" s="3" t="s">
        <v>110</v>
      </c>
      <c r="S6" s="3" t="s">
        <v>111</v>
      </c>
      <c r="T6" s="3" t="s">
        <v>107</v>
      </c>
      <c r="U6" s="3" t="s">
        <v>226</v>
      </c>
      <c r="V6" s="3" t="s">
        <v>111</v>
      </c>
    </row>
    <row r="7" spans="1:22" ht="86.4" x14ac:dyDescent="0.3">
      <c r="A7" s="3" t="str">
        <f t="shared" si="0"/>
        <v>MCQ_ITNIC_REQ_EIS_001</v>
      </c>
      <c r="B7" s="3" t="s">
        <v>21</v>
      </c>
      <c r="C7" s="6" t="s">
        <v>22</v>
      </c>
      <c r="D7" s="6" t="s">
        <v>815</v>
      </c>
      <c r="E7" s="3" t="s">
        <v>18</v>
      </c>
      <c r="F7" s="3">
        <v>3</v>
      </c>
      <c r="G7" s="3" t="s">
        <v>16</v>
      </c>
      <c r="H7" s="3" t="s">
        <v>17</v>
      </c>
      <c r="I7" s="3" t="s">
        <v>123</v>
      </c>
      <c r="J7" s="3" t="s">
        <v>124</v>
      </c>
      <c r="K7" s="3">
        <v>1</v>
      </c>
      <c r="L7" s="3" t="s">
        <v>125</v>
      </c>
      <c r="M7" s="3" t="str">
        <f>IF(B7="","","MCQ"&amp;"_"&amp;IFERROR(VLOOKUP(B7,LOOKUPS!$K$2:$L$10,2,FALSE),"UNK")&amp;"_"&amp;IFERROR(VLOOKUP(C7,LOOKUPS!$N$2:$O$10,2,FALSE),"UNK")&amp;"_"&amp;UPPER(L7))</f>
        <v>MCQ_ITNIC_REQ_EIS</v>
      </c>
      <c r="N7" s="3">
        <f>IF(M7="","",COUNTIF($M$2:M7,M7))</f>
        <v>1</v>
      </c>
      <c r="O7" s="3" t="s">
        <v>676</v>
      </c>
      <c r="P7" s="3" t="s">
        <v>126</v>
      </c>
      <c r="Q7" s="3" t="s">
        <v>127</v>
      </c>
      <c r="R7" s="3" t="s">
        <v>128</v>
      </c>
      <c r="S7" s="3" t="s">
        <v>129</v>
      </c>
      <c r="T7" s="3" t="s">
        <v>130</v>
      </c>
      <c r="U7" s="3" t="s">
        <v>131</v>
      </c>
      <c r="V7" s="3" t="s">
        <v>677</v>
      </c>
    </row>
    <row r="8" spans="1:22" ht="72" x14ac:dyDescent="0.3">
      <c r="A8" s="3" t="str">
        <f t="shared" si="0"/>
        <v>MCQ_ITNIC_CALC_EIS_001</v>
      </c>
      <c r="B8" s="3" t="s">
        <v>21</v>
      </c>
      <c r="C8" s="6" t="s">
        <v>40</v>
      </c>
      <c r="D8" s="6" t="s">
        <v>815</v>
      </c>
      <c r="E8" s="3" t="s">
        <v>18</v>
      </c>
      <c r="F8" s="3">
        <v>3</v>
      </c>
      <c r="G8" s="3" t="s">
        <v>16</v>
      </c>
      <c r="H8" s="3" t="s">
        <v>17</v>
      </c>
      <c r="I8" s="3" t="s">
        <v>123</v>
      </c>
      <c r="J8" s="3" t="s">
        <v>124</v>
      </c>
      <c r="K8" s="3">
        <v>1</v>
      </c>
      <c r="L8" s="3" t="s">
        <v>125</v>
      </c>
      <c r="M8" s="3" t="str">
        <f>IF(B8="","","MCQ"&amp;"_"&amp;IFERROR(VLOOKUP(B8,LOOKUPS!$K$2:$L$10,2,FALSE),"UNK")&amp;"_"&amp;IFERROR(VLOOKUP(C8,LOOKUPS!$N$2:$O$10,2,FALSE),"UNK")&amp;"_"&amp;UPPER(L8))</f>
        <v>MCQ_ITNIC_CALC_EIS</v>
      </c>
      <c r="N8" s="3">
        <f>IF(M8="","",COUNTIF($M$2:M8,M8))</f>
        <v>1</v>
      </c>
      <c r="O8" s="3" t="s">
        <v>789</v>
      </c>
      <c r="P8" s="3" t="s">
        <v>232</v>
      </c>
      <c r="Q8" s="3" t="s">
        <v>132</v>
      </c>
      <c r="R8" s="3" t="s">
        <v>133</v>
      </c>
      <c r="S8" s="3" t="s">
        <v>233</v>
      </c>
      <c r="T8" s="3" t="s">
        <v>134</v>
      </c>
      <c r="U8" s="3" t="s">
        <v>226</v>
      </c>
      <c r="V8" s="3" t="s">
        <v>135</v>
      </c>
    </row>
    <row r="9" spans="1:22" ht="100.8" x14ac:dyDescent="0.3">
      <c r="A9" s="3" t="str">
        <f t="shared" si="0"/>
        <v>MCQ_ITNIC_T_EIS_001</v>
      </c>
      <c r="B9" s="3" t="s">
        <v>21</v>
      </c>
      <c r="C9" s="6" t="s">
        <v>820</v>
      </c>
      <c r="D9" s="6" t="s">
        <v>815</v>
      </c>
      <c r="E9" s="3" t="s">
        <v>18</v>
      </c>
      <c r="F9" s="3">
        <v>3</v>
      </c>
      <c r="G9" s="3" t="s">
        <v>16</v>
      </c>
      <c r="H9" s="3" t="s">
        <v>17</v>
      </c>
      <c r="I9" s="3" t="s">
        <v>123</v>
      </c>
      <c r="J9" s="3" t="s">
        <v>124</v>
      </c>
      <c r="K9" s="3">
        <v>1</v>
      </c>
      <c r="L9" s="3" t="s">
        <v>125</v>
      </c>
      <c r="M9" s="3" t="str">
        <f>IF(B9="","","MCQ"&amp;"_"&amp;IFERROR(VLOOKUP(B9,LOOKUPS!$K$2:$L$10,2,FALSE),"UNK")&amp;"_"&amp;IFERROR(VLOOKUP(C9,LOOKUPS!$N$2:$O$10,2,FALSE),"UNK")&amp;"_"&amp;UPPER(L9))</f>
        <v>MCQ_ITNIC_T_EIS</v>
      </c>
      <c r="N9" s="3">
        <f>IF(M9="","",COUNTIF($M$2:M9,M9))</f>
        <v>1</v>
      </c>
      <c r="O9" s="3" t="s">
        <v>773</v>
      </c>
      <c r="P9" s="3" t="s">
        <v>234</v>
      </c>
      <c r="Q9" s="3" t="s">
        <v>136</v>
      </c>
      <c r="R9" s="3" t="s">
        <v>137</v>
      </c>
      <c r="S9" s="3" t="s">
        <v>138</v>
      </c>
      <c r="T9" s="3" t="s">
        <v>235</v>
      </c>
      <c r="U9" s="3" t="s">
        <v>224</v>
      </c>
      <c r="V9" s="3" t="s">
        <v>139</v>
      </c>
    </row>
    <row r="10" spans="1:22" ht="100.8" x14ac:dyDescent="0.3">
      <c r="A10" s="3" t="str">
        <f t="shared" si="0"/>
        <v>MCQ_ITNIC_P_PSC_001</v>
      </c>
      <c r="B10" s="3" t="s">
        <v>21</v>
      </c>
      <c r="C10" s="3" t="s">
        <v>818</v>
      </c>
      <c r="D10" s="3" t="s">
        <v>155</v>
      </c>
      <c r="E10" s="3" t="s">
        <v>18</v>
      </c>
      <c r="F10" s="3">
        <v>3</v>
      </c>
      <c r="G10" s="3" t="s">
        <v>16</v>
      </c>
      <c r="H10" s="3" t="s">
        <v>17</v>
      </c>
      <c r="I10" s="3" t="s">
        <v>156</v>
      </c>
      <c r="J10" s="3" t="s">
        <v>124</v>
      </c>
      <c r="K10" s="3">
        <v>1</v>
      </c>
      <c r="L10" s="3" t="s">
        <v>157</v>
      </c>
      <c r="M10" s="3" t="str">
        <f>IF(B10="","","MCQ"&amp;"_"&amp;IFERROR(VLOOKUP(B10,LOOKUPS!$K$2:$L$10,2,FALSE),"UNK")&amp;"_"&amp;IFERROR(VLOOKUP(C10,LOOKUPS!$N$2:$O$10,2,FALSE),"UNK")&amp;"_"&amp;UPPER(L10))</f>
        <v>MCQ_ITNIC_P_PSC</v>
      </c>
      <c r="N10" s="3">
        <f>IF(M10="","",COUNTIF($M$2:M10,M10))</f>
        <v>1</v>
      </c>
      <c r="O10" s="3" t="s">
        <v>158</v>
      </c>
      <c r="P10" s="3" t="s">
        <v>159</v>
      </c>
      <c r="Q10" s="3" t="s">
        <v>160</v>
      </c>
      <c r="R10" s="3" t="s">
        <v>161</v>
      </c>
      <c r="S10" s="3" t="s">
        <v>162</v>
      </c>
      <c r="T10" s="3" t="s">
        <v>163</v>
      </c>
      <c r="U10" s="3" t="s">
        <v>131</v>
      </c>
      <c r="V10" s="3" t="s">
        <v>164</v>
      </c>
    </row>
    <row r="11" spans="1:22" ht="100.8" x14ac:dyDescent="0.3">
      <c r="A11" s="3" t="str">
        <f t="shared" si="0"/>
        <v>MCQ_ITNIC_T_PSC_001</v>
      </c>
      <c r="B11" s="3" t="s">
        <v>21</v>
      </c>
      <c r="C11" s="3" t="s">
        <v>820</v>
      </c>
      <c r="D11" s="3" t="s">
        <v>155</v>
      </c>
      <c r="E11" s="3" t="s">
        <v>18</v>
      </c>
      <c r="F11" s="3">
        <v>3</v>
      </c>
      <c r="G11" s="3" t="s">
        <v>16</v>
      </c>
      <c r="H11" s="3" t="s">
        <v>17</v>
      </c>
      <c r="I11" s="3" t="s">
        <v>165</v>
      </c>
      <c r="J11" s="3" t="s">
        <v>124</v>
      </c>
      <c r="K11" s="3">
        <v>1</v>
      </c>
      <c r="L11" s="3" t="s">
        <v>157</v>
      </c>
      <c r="M11" s="3" t="str">
        <f>IF(B11="","","MCQ"&amp;"_"&amp;IFERROR(VLOOKUP(B11,LOOKUPS!$K$2:$L$10,2,FALSE),"UNK")&amp;"_"&amp;IFERROR(VLOOKUP(C11,LOOKUPS!$N$2:$O$10,2,FALSE),"UNK")&amp;"_"&amp;UPPER(L11))</f>
        <v>MCQ_ITNIC_T_PSC</v>
      </c>
      <c r="N11" s="3">
        <f>IF(M11="","",COUNTIF($M$2:M11,M11))</f>
        <v>1</v>
      </c>
      <c r="O11" s="3" t="s">
        <v>774</v>
      </c>
      <c r="P11" s="3" t="s">
        <v>236</v>
      </c>
      <c r="Q11" s="3" t="s">
        <v>237</v>
      </c>
      <c r="R11" s="3" t="s">
        <v>166</v>
      </c>
      <c r="S11" s="3" t="s">
        <v>167</v>
      </c>
      <c r="T11" s="3" t="s">
        <v>168</v>
      </c>
      <c r="U11" s="3" t="s">
        <v>225</v>
      </c>
      <c r="V11" s="3" t="s">
        <v>788</v>
      </c>
    </row>
    <row r="12" spans="1:22" ht="86.4" x14ac:dyDescent="0.3">
      <c r="A12" s="3" t="str">
        <f t="shared" si="0"/>
        <v>MCQ_ITNIC_REQ_PSC_001</v>
      </c>
      <c r="B12" s="3" t="s">
        <v>21</v>
      </c>
      <c r="C12" s="3" t="s">
        <v>22</v>
      </c>
      <c r="D12" s="3" t="s">
        <v>155</v>
      </c>
      <c r="E12" s="3" t="s">
        <v>18</v>
      </c>
      <c r="F12" s="3">
        <v>3</v>
      </c>
      <c r="G12" s="3" t="s">
        <v>16</v>
      </c>
      <c r="H12" s="3" t="s">
        <v>17</v>
      </c>
      <c r="I12" s="3" t="s">
        <v>169</v>
      </c>
      <c r="J12" s="3" t="s">
        <v>124</v>
      </c>
      <c r="K12" s="3">
        <v>1</v>
      </c>
      <c r="L12" s="3" t="s">
        <v>157</v>
      </c>
      <c r="M12" s="3" t="str">
        <f>IF(B12="","","MCQ"&amp;"_"&amp;IFERROR(VLOOKUP(B12,LOOKUPS!$K$2:$L$10,2,FALSE),"UNK")&amp;"_"&amp;IFERROR(VLOOKUP(C12,LOOKUPS!$N$2:$O$10,2,FALSE),"UNK")&amp;"_"&amp;UPPER(L12))</f>
        <v>MCQ_ITNIC_REQ_PSC</v>
      </c>
      <c r="N12" s="3">
        <f>IF(M12="","",COUNTIF($M$2:M12,M12))</f>
        <v>1</v>
      </c>
      <c r="O12" s="3" t="s">
        <v>775</v>
      </c>
      <c r="P12" s="3" t="s">
        <v>238</v>
      </c>
      <c r="Q12" s="3" t="s">
        <v>170</v>
      </c>
      <c r="R12" s="3" t="s">
        <v>171</v>
      </c>
      <c r="S12" s="3" t="s">
        <v>239</v>
      </c>
      <c r="T12" s="3" t="s">
        <v>172</v>
      </c>
      <c r="U12" s="3" t="s">
        <v>226</v>
      </c>
      <c r="V12" s="3" t="s">
        <v>792</v>
      </c>
    </row>
    <row r="13" spans="1:22" ht="100.8" x14ac:dyDescent="0.3">
      <c r="A13" s="3" t="str">
        <f t="shared" si="0"/>
        <v>MCQ_ITNIC_DEF_SHS_001</v>
      </c>
      <c r="B13" s="3" t="s">
        <v>21</v>
      </c>
      <c r="C13" s="3" t="s">
        <v>15</v>
      </c>
      <c r="D13" s="3" t="s">
        <v>352</v>
      </c>
      <c r="E13" s="3" t="s">
        <v>18</v>
      </c>
      <c r="F13" s="3">
        <v>3</v>
      </c>
      <c r="G13" s="3" t="s">
        <v>16</v>
      </c>
      <c r="H13" s="3" t="s">
        <v>17</v>
      </c>
      <c r="I13" s="3" t="s">
        <v>198</v>
      </c>
      <c r="J13" s="3" t="s">
        <v>124</v>
      </c>
      <c r="K13" s="3">
        <v>1</v>
      </c>
      <c r="L13" s="3" t="s">
        <v>199</v>
      </c>
      <c r="M13" s="3" t="str">
        <f>IF(B13="","","MCQ"&amp;"_"&amp;IFERROR(VLOOKUP(B13,LOOKUPS!$K$2:$L$10,2,FALSE),"UNK")&amp;"_"&amp;IFERROR(VLOOKUP(C13,LOOKUPS!$N$2:$O$10,2,FALSE),"UNK")&amp;"_"&amp;UPPER(L13))</f>
        <v>MCQ_ITNIC_DEF_SHS</v>
      </c>
      <c r="N13" s="3">
        <f>IF(M13="","",COUNTIF($M$2:M13,M13))</f>
        <v>1</v>
      </c>
      <c r="O13" s="3" t="s">
        <v>799</v>
      </c>
      <c r="P13" s="3" t="s">
        <v>200</v>
      </c>
      <c r="Q13" s="3" t="s">
        <v>201</v>
      </c>
      <c r="R13" s="3" t="s">
        <v>688</v>
      </c>
      <c r="S13" s="3" t="s">
        <v>689</v>
      </c>
      <c r="T13" s="3" t="s">
        <v>690</v>
      </c>
      <c r="U13" s="3" t="s">
        <v>131</v>
      </c>
      <c r="V13" s="3" t="s">
        <v>202</v>
      </c>
    </row>
    <row r="14" spans="1:22" ht="115.2" x14ac:dyDescent="0.3">
      <c r="A14" s="3" t="str">
        <f t="shared" si="0"/>
        <v>MCQ_ITNIC_DEF_SHS_002</v>
      </c>
      <c r="B14" s="3" t="s">
        <v>21</v>
      </c>
      <c r="C14" s="3" t="s">
        <v>15</v>
      </c>
      <c r="D14" s="3" t="s">
        <v>352</v>
      </c>
      <c r="E14" s="3" t="s">
        <v>18</v>
      </c>
      <c r="F14" s="3">
        <v>3</v>
      </c>
      <c r="G14" s="3" t="s">
        <v>16</v>
      </c>
      <c r="H14" s="3" t="s">
        <v>17</v>
      </c>
      <c r="I14" s="3" t="s">
        <v>203</v>
      </c>
      <c r="J14" s="3" t="s">
        <v>124</v>
      </c>
      <c r="K14" s="3">
        <v>1</v>
      </c>
      <c r="L14" s="3" t="s">
        <v>199</v>
      </c>
      <c r="M14" s="3" t="str">
        <f>IF(B14="","","MCQ"&amp;"_"&amp;IFERROR(VLOOKUP(B14,LOOKUPS!$K$2:$L$10,2,FALSE),"UNK")&amp;"_"&amp;IFERROR(VLOOKUP(C14,LOOKUPS!$N$2:$O$10,2,FALSE),"UNK")&amp;"_"&amp;UPPER(L14))</f>
        <v>MCQ_ITNIC_DEF_SHS</v>
      </c>
      <c r="N14" s="3">
        <f>IF(M14="","",COUNTIF($M$2:M14,M14))</f>
        <v>2</v>
      </c>
      <c r="O14" s="3" t="s">
        <v>790</v>
      </c>
      <c r="P14" s="3" t="s">
        <v>730</v>
      </c>
      <c r="Q14" s="3" t="s">
        <v>204</v>
      </c>
      <c r="R14" s="3" t="s">
        <v>205</v>
      </c>
      <c r="S14" s="3" t="s">
        <v>206</v>
      </c>
      <c r="T14" s="3" t="s">
        <v>240</v>
      </c>
      <c r="U14" s="3" t="s">
        <v>224</v>
      </c>
      <c r="V14" s="3" t="s">
        <v>735</v>
      </c>
    </row>
    <row r="15" spans="1:22" ht="115.2" x14ac:dyDescent="0.3">
      <c r="A15" s="3" t="str">
        <f t="shared" si="0"/>
        <v>MCQ_ITNIC_T_SHS_001</v>
      </c>
      <c r="B15" s="3" t="s">
        <v>21</v>
      </c>
      <c r="C15" s="3" t="s">
        <v>820</v>
      </c>
      <c r="D15" s="3" t="s">
        <v>352</v>
      </c>
      <c r="E15" s="3" t="s">
        <v>18</v>
      </c>
      <c r="F15" s="3">
        <v>3</v>
      </c>
      <c r="G15" s="3" t="s">
        <v>16</v>
      </c>
      <c r="H15" s="3" t="s">
        <v>17</v>
      </c>
      <c r="I15" s="3" t="s">
        <v>207</v>
      </c>
      <c r="J15" s="3" t="s">
        <v>124</v>
      </c>
      <c r="K15" s="3">
        <v>1</v>
      </c>
      <c r="L15" s="3" t="s">
        <v>199</v>
      </c>
      <c r="M15" s="3" t="str">
        <f>IF(B15="","","MCQ"&amp;"_"&amp;IFERROR(VLOOKUP(B15,LOOKUPS!$K$2:$L$10,2,FALSE),"UNK")&amp;"_"&amp;IFERROR(VLOOKUP(C15,LOOKUPS!$N$2:$O$10,2,FALSE),"UNK")&amp;"_"&amp;UPPER(L15))</f>
        <v>MCQ_ITNIC_T_SHS</v>
      </c>
      <c r="N15" s="3">
        <f>IF(M15="","",COUNTIF($M$2:M15,M15))</f>
        <v>1</v>
      </c>
      <c r="O15" s="3" t="s">
        <v>791</v>
      </c>
      <c r="P15" s="3" t="s">
        <v>241</v>
      </c>
      <c r="Q15" s="3" t="s">
        <v>691</v>
      </c>
      <c r="R15" s="3" t="s">
        <v>312</v>
      </c>
      <c r="S15" s="3" t="s">
        <v>208</v>
      </c>
      <c r="T15" s="3" t="s">
        <v>209</v>
      </c>
      <c r="U15" s="3" t="s">
        <v>223</v>
      </c>
      <c r="V15" s="3" t="s">
        <v>692</v>
      </c>
    </row>
    <row r="16" spans="1:22" ht="57.6" x14ac:dyDescent="0.3">
      <c r="A16" s="3" t="str">
        <f t="shared" si="0"/>
        <v>MCQ_ITNIC_REQ_EMI_001</v>
      </c>
      <c r="B16" s="6" t="s">
        <v>21</v>
      </c>
      <c r="C16" s="6" t="s">
        <v>22</v>
      </c>
      <c r="D16" s="3" t="s">
        <v>352</v>
      </c>
      <c r="E16" s="6" t="s">
        <v>18</v>
      </c>
      <c r="F16" s="6">
        <v>3</v>
      </c>
      <c r="G16" s="6" t="s">
        <v>16</v>
      </c>
      <c r="H16" s="6" t="s">
        <v>17</v>
      </c>
      <c r="I16" s="6" t="s">
        <v>251</v>
      </c>
      <c r="J16" s="6" t="s">
        <v>124</v>
      </c>
      <c r="K16" s="6">
        <v>1</v>
      </c>
      <c r="L16" s="6" t="s">
        <v>252</v>
      </c>
      <c r="M16" s="3" t="str">
        <f>IF(B16="","","MCQ"&amp;"_"&amp;IFERROR(VLOOKUP(B16,LOOKUPS!$K$2:$L$10,2,FALSE),"UNK")&amp;"_"&amp;IFERROR(VLOOKUP(C16,LOOKUPS!$N$2:$O$10,2,FALSE),"UNK")&amp;"_"&amp;UPPER(L16))</f>
        <v>MCQ_ITNIC_REQ_EMI</v>
      </c>
      <c r="N16" s="3">
        <f>IF(M16="","",COUNTIF($M$2:M16,M16))</f>
        <v>1</v>
      </c>
      <c r="O16" s="6" t="s">
        <v>776</v>
      </c>
      <c r="P16" s="6" t="s">
        <v>253</v>
      </c>
      <c r="Q16" s="3" t="s">
        <v>254</v>
      </c>
      <c r="R16" s="3" t="s">
        <v>255</v>
      </c>
      <c r="S16" s="3" t="s">
        <v>256</v>
      </c>
      <c r="T16" s="3" t="s">
        <v>257</v>
      </c>
      <c r="U16" s="3" t="s">
        <v>131</v>
      </c>
      <c r="V16" s="3" t="s">
        <v>793</v>
      </c>
    </row>
    <row r="17" spans="1:22" ht="100.8" x14ac:dyDescent="0.3">
      <c r="A17" s="3" t="str">
        <f t="shared" si="0"/>
        <v>MCQ_ITNIC_REQ_EMI_002</v>
      </c>
      <c r="B17" s="6" t="s">
        <v>21</v>
      </c>
      <c r="C17" s="6" t="s">
        <v>22</v>
      </c>
      <c r="D17" s="3" t="s">
        <v>352</v>
      </c>
      <c r="E17" s="6" t="s">
        <v>18</v>
      </c>
      <c r="F17" s="6">
        <v>3</v>
      </c>
      <c r="G17" s="6" t="s">
        <v>16</v>
      </c>
      <c r="H17" s="6" t="s">
        <v>17</v>
      </c>
      <c r="I17" s="6" t="s">
        <v>251</v>
      </c>
      <c r="J17" s="6" t="s">
        <v>124</v>
      </c>
      <c r="K17" s="6">
        <v>1</v>
      </c>
      <c r="L17" s="6" t="s">
        <v>252</v>
      </c>
      <c r="M17" s="3" t="str">
        <f>IF(B17="","","MCQ"&amp;"_"&amp;IFERROR(VLOOKUP(B17,LOOKUPS!$K$2:$L$10,2,FALSE),"UNK")&amp;"_"&amp;IFERROR(VLOOKUP(C17,LOOKUPS!$N$2:$O$10,2,FALSE),"UNK")&amp;"_"&amp;UPPER(L17))</f>
        <v>MCQ_ITNIC_REQ_EMI</v>
      </c>
      <c r="N17" s="3">
        <f>IF(M17="","",COUNTIF($M$2:M17,M17))</f>
        <v>2</v>
      </c>
      <c r="O17" s="6" t="s">
        <v>777</v>
      </c>
      <c r="P17" s="6" t="s">
        <v>693</v>
      </c>
      <c r="Q17" s="3" t="s">
        <v>694</v>
      </c>
      <c r="R17" s="3" t="s">
        <v>258</v>
      </c>
      <c r="S17" s="3" t="s">
        <v>695</v>
      </c>
      <c r="T17" s="3" t="s">
        <v>259</v>
      </c>
      <c r="U17" s="3" t="s">
        <v>225</v>
      </c>
      <c r="V17" s="3" t="s">
        <v>260</v>
      </c>
    </row>
    <row r="18" spans="1:22" ht="43.2" x14ac:dyDescent="0.3">
      <c r="A18" s="3" t="str">
        <f t="shared" si="0"/>
        <v>MCQ_ITNIC_REQ_EMI_003</v>
      </c>
      <c r="B18" s="6" t="s">
        <v>21</v>
      </c>
      <c r="C18" s="6" t="s">
        <v>22</v>
      </c>
      <c r="D18" s="3" t="s">
        <v>352</v>
      </c>
      <c r="E18" s="6" t="s">
        <v>18</v>
      </c>
      <c r="F18" s="6">
        <v>3</v>
      </c>
      <c r="G18" s="6" t="s">
        <v>16</v>
      </c>
      <c r="H18" s="6" t="s">
        <v>17</v>
      </c>
      <c r="I18" s="6" t="s">
        <v>251</v>
      </c>
      <c r="J18" s="6" t="s">
        <v>124</v>
      </c>
      <c r="K18" s="6">
        <v>1</v>
      </c>
      <c r="L18" s="6" t="s">
        <v>252</v>
      </c>
      <c r="M18" s="3" t="str">
        <f>IF(B18="","","MCQ"&amp;"_"&amp;IFERROR(VLOOKUP(B18,LOOKUPS!$K$2:$L$10,2,FALSE),"UNK")&amp;"_"&amp;IFERROR(VLOOKUP(C18,LOOKUPS!$N$2:$O$10,2,FALSE),"UNK")&amp;"_"&amp;UPPER(L18))</f>
        <v>MCQ_ITNIC_REQ_EMI</v>
      </c>
      <c r="N18" s="3">
        <f>IF(M18="","",COUNTIF($M$2:M18,M18))</f>
        <v>3</v>
      </c>
      <c r="O18" s="6" t="s">
        <v>778</v>
      </c>
      <c r="P18" s="6" t="s">
        <v>261</v>
      </c>
      <c r="Q18" s="3" t="s">
        <v>262</v>
      </c>
      <c r="R18" s="3" t="s">
        <v>263</v>
      </c>
      <c r="S18" s="3" t="s">
        <v>264</v>
      </c>
      <c r="T18" s="3" t="s">
        <v>265</v>
      </c>
      <c r="U18" s="3" t="s">
        <v>223</v>
      </c>
      <c r="V18" s="3" t="s">
        <v>794</v>
      </c>
    </row>
    <row r="19" spans="1:22" ht="57.6" x14ac:dyDescent="0.3">
      <c r="A19" s="3" t="str">
        <f t="shared" si="0"/>
        <v>MCQ_ITNIC_REQ_EMI_004</v>
      </c>
      <c r="B19" s="6" t="s">
        <v>21</v>
      </c>
      <c r="C19" s="6" t="s">
        <v>22</v>
      </c>
      <c r="D19" s="3" t="s">
        <v>352</v>
      </c>
      <c r="E19" s="6" t="s">
        <v>18</v>
      </c>
      <c r="F19" s="6">
        <v>3</v>
      </c>
      <c r="G19" s="6" t="s">
        <v>16</v>
      </c>
      <c r="H19" s="6" t="s">
        <v>17</v>
      </c>
      <c r="I19" s="6" t="s">
        <v>251</v>
      </c>
      <c r="J19" s="6" t="s">
        <v>124</v>
      </c>
      <c r="K19" s="6">
        <v>1</v>
      </c>
      <c r="L19" s="6" t="s">
        <v>252</v>
      </c>
      <c r="M19" s="3" t="str">
        <f>IF(B19="","","MCQ"&amp;"_"&amp;IFERROR(VLOOKUP(B19,LOOKUPS!$K$2:$L$10,2,FALSE),"UNK")&amp;"_"&amp;IFERROR(VLOOKUP(C19,LOOKUPS!$N$2:$O$10,2,FALSE),"UNK")&amp;"_"&amp;UPPER(L19))</f>
        <v>MCQ_ITNIC_REQ_EMI</v>
      </c>
      <c r="N19" s="3">
        <f>IF(M19="","",COUNTIF($M$2:M19,M19))</f>
        <v>4</v>
      </c>
      <c r="O19" s="6" t="s">
        <v>779</v>
      </c>
      <c r="P19" s="6" t="s">
        <v>266</v>
      </c>
      <c r="Q19" s="3" t="s">
        <v>267</v>
      </c>
      <c r="R19" s="3" t="s">
        <v>268</v>
      </c>
      <c r="S19" s="3" t="s">
        <v>269</v>
      </c>
      <c r="T19" s="3" t="s">
        <v>270</v>
      </c>
      <c r="U19" s="3" t="s">
        <v>226</v>
      </c>
      <c r="V19" s="3" t="s">
        <v>271</v>
      </c>
    </row>
    <row r="20" spans="1:22" ht="72" x14ac:dyDescent="0.3">
      <c r="A20" s="3" t="str">
        <f t="shared" si="0"/>
        <v>MCQ_ITNIC_REQ_EMI_005</v>
      </c>
      <c r="B20" s="3" t="s">
        <v>21</v>
      </c>
      <c r="C20" s="3" t="s">
        <v>22</v>
      </c>
      <c r="D20" s="3" t="s">
        <v>352</v>
      </c>
      <c r="E20" s="3" t="s">
        <v>18</v>
      </c>
      <c r="F20" s="3">
        <v>3</v>
      </c>
      <c r="G20" s="3" t="s">
        <v>16</v>
      </c>
      <c r="H20" s="3" t="s">
        <v>17</v>
      </c>
      <c r="I20" s="3" t="s">
        <v>251</v>
      </c>
      <c r="J20" s="3" t="s">
        <v>124</v>
      </c>
      <c r="K20" s="3">
        <v>1</v>
      </c>
      <c r="L20" s="3" t="s">
        <v>252</v>
      </c>
      <c r="M20" s="3" t="str">
        <f>IF(B20="","","MCQ"&amp;"_"&amp;IFERROR(VLOOKUP(B20,LOOKUPS!$K$2:$L$10,2,FALSE),"UNK")&amp;"_"&amp;IFERROR(VLOOKUP(C20,LOOKUPS!$N$2:$O$10,2,FALSE),"UNK")&amp;"_"&amp;UPPER(L20))</f>
        <v>MCQ_ITNIC_REQ_EMI</v>
      </c>
      <c r="N20" s="3">
        <f>IF(M20="","",COUNTIF($M$2:M20,M20))</f>
        <v>5</v>
      </c>
      <c r="O20" s="3" t="s">
        <v>780</v>
      </c>
      <c r="P20" s="3" t="s">
        <v>272</v>
      </c>
      <c r="Q20" s="3" t="s">
        <v>273</v>
      </c>
      <c r="R20" s="3" t="s">
        <v>274</v>
      </c>
      <c r="S20" s="3" t="s">
        <v>696</v>
      </c>
      <c r="T20" s="3" t="s">
        <v>275</v>
      </c>
      <c r="U20" s="3" t="s">
        <v>224</v>
      </c>
      <c r="V20" s="3" t="s">
        <v>795</v>
      </c>
    </row>
    <row r="21" spans="1:22" ht="72" x14ac:dyDescent="0.3">
      <c r="A21" s="3" t="str">
        <f t="shared" si="0"/>
        <v>MCQ_ITNIC_REQ_EMI_006</v>
      </c>
      <c r="B21" s="3" t="s">
        <v>21</v>
      </c>
      <c r="C21" s="3" t="s">
        <v>22</v>
      </c>
      <c r="D21" s="3" t="s">
        <v>352</v>
      </c>
      <c r="E21" s="3" t="s">
        <v>18</v>
      </c>
      <c r="F21" s="3">
        <v>3</v>
      </c>
      <c r="G21" s="3" t="s">
        <v>16</v>
      </c>
      <c r="H21" s="3" t="s">
        <v>17</v>
      </c>
      <c r="I21" s="3" t="s">
        <v>276</v>
      </c>
      <c r="J21" s="3" t="s">
        <v>124</v>
      </c>
      <c r="K21" s="3">
        <v>1</v>
      </c>
      <c r="L21" s="3" t="s">
        <v>252</v>
      </c>
      <c r="M21" s="3" t="str">
        <f>IF(B21="","","MCQ"&amp;"_"&amp;IFERROR(VLOOKUP(B21,LOOKUPS!$K$2:$L$10,2,FALSE),"UNK")&amp;"_"&amp;IFERROR(VLOOKUP(C21,LOOKUPS!$N$2:$O$10,2,FALSE),"UNK")&amp;"_"&amp;UPPER(L21))</f>
        <v>MCQ_ITNIC_REQ_EMI</v>
      </c>
      <c r="N21" s="3">
        <f>IF(M21="","",COUNTIF($M$2:M21,M21))</f>
        <v>6</v>
      </c>
      <c r="O21" s="3" t="s">
        <v>781</v>
      </c>
      <c r="P21" s="3" t="s">
        <v>277</v>
      </c>
      <c r="Q21" s="3" t="s">
        <v>278</v>
      </c>
      <c r="R21" s="3" t="s">
        <v>279</v>
      </c>
      <c r="S21" s="3" t="s">
        <v>280</v>
      </c>
      <c r="T21" s="3" t="s">
        <v>281</v>
      </c>
      <c r="U21" s="3" t="s">
        <v>224</v>
      </c>
      <c r="V21" s="3" t="s">
        <v>282</v>
      </c>
    </row>
    <row r="22" spans="1:22" ht="57.6" x14ac:dyDescent="0.3">
      <c r="A22" s="3" t="str">
        <f t="shared" si="0"/>
        <v>MCQ_ITNIC_REQ_EMI_007</v>
      </c>
      <c r="B22" s="3" t="s">
        <v>21</v>
      </c>
      <c r="C22" s="3" t="s">
        <v>22</v>
      </c>
      <c r="D22" s="3" t="s">
        <v>352</v>
      </c>
      <c r="E22" s="3" t="s">
        <v>18</v>
      </c>
      <c r="F22" s="3">
        <v>3</v>
      </c>
      <c r="G22" s="3" t="s">
        <v>16</v>
      </c>
      <c r="H22" s="3" t="s">
        <v>17</v>
      </c>
      <c r="I22" s="3" t="s">
        <v>276</v>
      </c>
      <c r="J22" s="3" t="s">
        <v>124</v>
      </c>
      <c r="K22" s="3">
        <v>1</v>
      </c>
      <c r="L22" s="3" t="s">
        <v>252</v>
      </c>
      <c r="M22" s="3" t="str">
        <f>IF(B22="","","MCQ"&amp;"_"&amp;IFERROR(VLOOKUP(B22,LOOKUPS!$K$2:$L$10,2,FALSE),"UNK")&amp;"_"&amp;IFERROR(VLOOKUP(C22,LOOKUPS!$N$2:$O$10,2,FALSE),"UNK")&amp;"_"&amp;UPPER(L22))</f>
        <v>MCQ_ITNIC_REQ_EMI</v>
      </c>
      <c r="N22" s="3">
        <f>IF(M22="","",COUNTIF($M$2:M22,M22))</f>
        <v>7</v>
      </c>
      <c r="O22" s="3" t="s">
        <v>782</v>
      </c>
      <c r="P22" s="3" t="s">
        <v>283</v>
      </c>
      <c r="Q22" s="3" t="s">
        <v>284</v>
      </c>
      <c r="R22" s="3" t="s">
        <v>285</v>
      </c>
      <c r="S22" s="3" t="s">
        <v>286</v>
      </c>
      <c r="T22" s="3" t="s">
        <v>287</v>
      </c>
      <c r="U22" s="3" t="s">
        <v>226</v>
      </c>
      <c r="V22" s="3" t="s">
        <v>796</v>
      </c>
    </row>
    <row r="23" spans="1:22" ht="86.4" x14ac:dyDescent="0.3">
      <c r="A23" s="3" t="str">
        <f t="shared" si="0"/>
        <v>MCQ_ITNIC_REQ_EMI_008</v>
      </c>
      <c r="B23" s="3" t="s">
        <v>21</v>
      </c>
      <c r="C23" s="3" t="s">
        <v>22</v>
      </c>
      <c r="D23" s="3" t="s">
        <v>352</v>
      </c>
      <c r="E23" s="3" t="s">
        <v>18</v>
      </c>
      <c r="F23" s="3">
        <v>3</v>
      </c>
      <c r="G23" s="3" t="s">
        <v>16</v>
      </c>
      <c r="H23" s="3" t="s">
        <v>17</v>
      </c>
      <c r="I23" s="3" t="s">
        <v>288</v>
      </c>
      <c r="J23" s="3" t="s">
        <v>124</v>
      </c>
      <c r="K23" s="3">
        <v>1</v>
      </c>
      <c r="L23" s="3" t="s">
        <v>252</v>
      </c>
      <c r="M23" s="3" t="str">
        <f>IF(B23="","","MCQ"&amp;"_"&amp;IFERROR(VLOOKUP(B23,LOOKUPS!$K$2:$L$10,2,FALSE),"UNK")&amp;"_"&amp;IFERROR(VLOOKUP(C23,LOOKUPS!$N$2:$O$10,2,FALSE),"UNK")&amp;"_"&amp;UPPER(L23))</f>
        <v>MCQ_ITNIC_REQ_EMI</v>
      </c>
      <c r="N23" s="3">
        <f>IF(M23="","",COUNTIF($M$2:M23,M23))</f>
        <v>8</v>
      </c>
      <c r="O23" s="3" t="s">
        <v>783</v>
      </c>
      <c r="P23" s="3" t="s">
        <v>289</v>
      </c>
      <c r="Q23" s="3" t="s">
        <v>290</v>
      </c>
      <c r="R23" s="3" t="s">
        <v>291</v>
      </c>
      <c r="S23" s="3" t="s">
        <v>292</v>
      </c>
      <c r="T23" s="3" t="s">
        <v>293</v>
      </c>
      <c r="U23" s="3" t="s">
        <v>223</v>
      </c>
      <c r="V23" s="3" t="s">
        <v>294</v>
      </c>
    </row>
    <row r="24" spans="1:22" ht="43.2" x14ac:dyDescent="0.3">
      <c r="A24" s="3" t="str">
        <f t="shared" si="0"/>
        <v>MCQ_ITNIC_REQ_EMI_009</v>
      </c>
      <c r="B24" s="3" t="s">
        <v>21</v>
      </c>
      <c r="C24" s="3" t="s">
        <v>22</v>
      </c>
      <c r="D24" s="3" t="s">
        <v>352</v>
      </c>
      <c r="E24" s="3" t="s">
        <v>18</v>
      </c>
      <c r="F24" s="3">
        <v>3</v>
      </c>
      <c r="G24" s="3" t="s">
        <v>16</v>
      </c>
      <c r="H24" s="3" t="s">
        <v>17</v>
      </c>
      <c r="I24" s="3" t="s">
        <v>295</v>
      </c>
      <c r="J24" s="3" t="s">
        <v>124</v>
      </c>
      <c r="K24" s="3">
        <v>1</v>
      </c>
      <c r="L24" s="3" t="s">
        <v>252</v>
      </c>
      <c r="M24" s="3" t="str">
        <f>IF(B24="","","MCQ"&amp;"_"&amp;IFERROR(VLOOKUP(B24,LOOKUPS!$K$2:$L$10,2,FALSE),"UNK")&amp;"_"&amp;IFERROR(VLOOKUP(C24,LOOKUPS!$N$2:$O$10,2,FALSE),"UNK")&amp;"_"&amp;UPPER(L24))</f>
        <v>MCQ_ITNIC_REQ_EMI</v>
      </c>
      <c r="N24" s="3">
        <f>IF(M24="","",COUNTIF($M$2:M24,M24))</f>
        <v>9</v>
      </c>
      <c r="O24" s="3" t="s">
        <v>784</v>
      </c>
      <c r="P24" s="3" t="s">
        <v>296</v>
      </c>
      <c r="Q24" s="3" t="s">
        <v>297</v>
      </c>
      <c r="R24" s="3" t="s">
        <v>298</v>
      </c>
      <c r="S24" s="3" t="s">
        <v>299</v>
      </c>
      <c r="T24" s="3" t="s">
        <v>300</v>
      </c>
      <c r="U24" s="3" t="s">
        <v>225</v>
      </c>
      <c r="V24" s="3" t="s">
        <v>797</v>
      </c>
    </row>
    <row r="25" spans="1:22" ht="43.2" x14ac:dyDescent="0.3">
      <c r="A25" s="3" t="str">
        <f t="shared" si="0"/>
        <v>MCQ_ITNIC_REQ_EMI_010</v>
      </c>
      <c r="B25" s="3" t="s">
        <v>21</v>
      </c>
      <c r="C25" s="3" t="s">
        <v>22</v>
      </c>
      <c r="D25" s="3" t="s">
        <v>352</v>
      </c>
      <c r="E25" s="3" t="s">
        <v>18</v>
      </c>
      <c r="F25" s="3">
        <v>3</v>
      </c>
      <c r="G25" s="3" t="s">
        <v>16</v>
      </c>
      <c r="H25" s="3" t="s">
        <v>17</v>
      </c>
      <c r="I25" s="3" t="s">
        <v>295</v>
      </c>
      <c r="J25" s="3" t="s">
        <v>124</v>
      </c>
      <c r="K25" s="3">
        <v>1</v>
      </c>
      <c r="L25" s="3" t="s">
        <v>252</v>
      </c>
      <c r="M25" s="3" t="str">
        <f>IF(B25="","","MCQ"&amp;"_"&amp;IFERROR(VLOOKUP(B25,LOOKUPS!$K$2:$L$10,2,FALSE),"UNK")&amp;"_"&amp;IFERROR(VLOOKUP(C25,LOOKUPS!$N$2:$O$10,2,FALSE),"UNK")&amp;"_"&amp;UPPER(L25))</f>
        <v>MCQ_ITNIC_REQ_EMI</v>
      </c>
      <c r="N25" s="3">
        <f>IF(M25="","",COUNTIF($M$2:M25,M25))</f>
        <v>10</v>
      </c>
      <c r="O25" s="3" t="s">
        <v>785</v>
      </c>
      <c r="P25" s="3" t="s">
        <v>301</v>
      </c>
      <c r="Q25" s="3" t="s">
        <v>297</v>
      </c>
      <c r="R25" s="3" t="s">
        <v>302</v>
      </c>
      <c r="S25" s="3" t="s">
        <v>303</v>
      </c>
      <c r="T25" s="3" t="s">
        <v>304</v>
      </c>
      <c r="U25" s="3" t="s">
        <v>131</v>
      </c>
      <c r="V25" s="3" t="s">
        <v>305</v>
      </c>
    </row>
    <row r="26" spans="1:22" ht="86.4" x14ac:dyDescent="0.3">
      <c r="A26" s="3" t="str">
        <f t="shared" si="0"/>
        <v>MCQ_ITNIC_REQ_EMI_011</v>
      </c>
      <c r="B26" s="3" t="s">
        <v>21</v>
      </c>
      <c r="C26" s="3" t="s">
        <v>22</v>
      </c>
      <c r="D26" s="3" t="s">
        <v>352</v>
      </c>
      <c r="E26" s="3" t="s">
        <v>18</v>
      </c>
      <c r="F26" s="3">
        <v>3</v>
      </c>
      <c r="G26" s="3" t="s">
        <v>16</v>
      </c>
      <c r="H26" s="3" t="s">
        <v>17</v>
      </c>
      <c r="I26" s="3" t="s">
        <v>295</v>
      </c>
      <c r="J26" s="3" t="s">
        <v>124</v>
      </c>
      <c r="K26" s="3">
        <v>1</v>
      </c>
      <c r="L26" s="3" t="s">
        <v>252</v>
      </c>
      <c r="M26" s="3" t="str">
        <f>IF(B26="","","MCQ"&amp;"_"&amp;IFERROR(VLOOKUP(B26,LOOKUPS!$K$2:$L$10,2,FALSE),"UNK")&amp;"_"&amp;IFERROR(VLOOKUP(C26,LOOKUPS!$N$2:$O$10,2,FALSE),"UNK")&amp;"_"&amp;UPPER(L26))</f>
        <v>MCQ_ITNIC_REQ_EMI</v>
      </c>
      <c r="N26" s="3">
        <f>IF(M26="","",COUNTIF($M$2:M26,M26))</f>
        <v>11</v>
      </c>
      <c r="O26" s="3" t="s">
        <v>786</v>
      </c>
      <c r="P26" s="3" t="s">
        <v>697</v>
      </c>
      <c r="Q26" s="3" t="s">
        <v>698</v>
      </c>
      <c r="R26" s="3" t="s">
        <v>699</v>
      </c>
      <c r="S26" s="3" t="s">
        <v>700</v>
      </c>
      <c r="T26" s="3" t="s">
        <v>701</v>
      </c>
      <c r="U26" s="3" t="s">
        <v>223</v>
      </c>
      <c r="V26" s="3" t="s">
        <v>798</v>
      </c>
    </row>
    <row r="27" spans="1:22" ht="100.8" x14ac:dyDescent="0.3">
      <c r="A27" s="3" t="str">
        <f t="shared" si="0"/>
        <v>MCQ_ITNIC_P_EMI_001</v>
      </c>
      <c r="B27" s="3" t="s">
        <v>21</v>
      </c>
      <c r="C27" s="3" t="s">
        <v>818</v>
      </c>
      <c r="D27" s="3" t="s">
        <v>352</v>
      </c>
      <c r="E27" s="3" t="s">
        <v>18</v>
      </c>
      <c r="F27" s="3">
        <v>3</v>
      </c>
      <c r="G27" s="3" t="s">
        <v>16</v>
      </c>
      <c r="H27" s="3" t="s">
        <v>17</v>
      </c>
      <c r="I27" s="3" t="s">
        <v>306</v>
      </c>
      <c r="J27" s="3" t="s">
        <v>124</v>
      </c>
      <c r="K27" s="3">
        <v>1</v>
      </c>
      <c r="L27" s="3" t="s">
        <v>252</v>
      </c>
      <c r="M27" s="3" t="str">
        <f>IF(B27="","","MCQ"&amp;"_"&amp;IFERROR(VLOOKUP(B27,LOOKUPS!$K$2:$L$10,2,FALSE),"UNK")&amp;"_"&amp;IFERROR(VLOOKUP(C27,LOOKUPS!$N$2:$O$10,2,FALSE),"UNK")&amp;"_"&amp;UPPER(L27))</f>
        <v>MCQ_ITNIC_P_EMI</v>
      </c>
      <c r="N27" s="3">
        <f>IF(M27="","",COUNTIF($M$2:M27,M27))</f>
        <v>1</v>
      </c>
      <c r="O27" s="3" t="s">
        <v>787</v>
      </c>
      <c r="P27" s="3" t="s">
        <v>752</v>
      </c>
      <c r="Q27" s="3" t="s">
        <v>731</v>
      </c>
      <c r="R27" s="3" t="s">
        <v>732</v>
      </c>
      <c r="S27" s="3" t="s">
        <v>733</v>
      </c>
      <c r="T27" s="3" t="s">
        <v>734</v>
      </c>
      <c r="U27" s="3" t="s">
        <v>224</v>
      </c>
      <c r="V27" s="3" t="s">
        <v>736</v>
      </c>
    </row>
    <row r="28" spans="1:22" ht="57.6" x14ac:dyDescent="0.3">
      <c r="A28" s="3" t="str">
        <f t="shared" si="0"/>
        <v>MCQ_CGT_REQ_RESDOM_001</v>
      </c>
      <c r="B28" s="3" t="s">
        <v>28</v>
      </c>
      <c r="C28" s="3" t="s">
        <v>22</v>
      </c>
      <c r="D28" s="3" t="s">
        <v>471</v>
      </c>
      <c r="E28" s="3" t="s">
        <v>18</v>
      </c>
      <c r="F28" s="3">
        <v>3</v>
      </c>
      <c r="G28" s="3" t="s">
        <v>16</v>
      </c>
      <c r="H28" s="3" t="s">
        <v>17</v>
      </c>
      <c r="I28" s="3" t="s">
        <v>472</v>
      </c>
      <c r="J28" s="3" t="s">
        <v>430</v>
      </c>
      <c r="K28" s="3">
        <v>1</v>
      </c>
      <c r="L28" s="3" t="s">
        <v>473</v>
      </c>
      <c r="M28" s="3" t="str">
        <f>IF(B28="","","MCQ"&amp;"_"&amp;IFERROR(VLOOKUP(B28,LOOKUPS!$K$2:$L$10,2,FALSE),"UNK")&amp;"_"&amp;IFERROR(VLOOKUP(C28,LOOKUPS!$N$2:$O$10,2,FALSE),"UNK")&amp;"_"&amp;UPPER(L28))</f>
        <v>MCQ_CGT_REQ_RESDOM</v>
      </c>
      <c r="N28" s="3">
        <f>IF(M28="","",COUNTIF($M$2:M28,M28))</f>
        <v>1</v>
      </c>
      <c r="O28" s="3" t="s">
        <v>588</v>
      </c>
      <c r="P28" s="3" t="s">
        <v>822</v>
      </c>
      <c r="Q28" s="3" t="s">
        <v>587</v>
      </c>
      <c r="R28" s="3" t="s">
        <v>586</v>
      </c>
      <c r="S28" s="3" t="s">
        <v>585</v>
      </c>
      <c r="T28" s="3"/>
      <c r="U28" s="3" t="s">
        <v>131</v>
      </c>
      <c r="V28" s="3" t="s">
        <v>584</v>
      </c>
    </row>
    <row r="29" spans="1:22" ht="57.6" x14ac:dyDescent="0.3">
      <c r="A29" s="3" t="str">
        <f t="shared" si="0"/>
        <v>MCQ_CGT_REQ_RESDOM_002</v>
      </c>
      <c r="B29" s="3" t="s">
        <v>28</v>
      </c>
      <c r="C29" s="3" t="s">
        <v>22</v>
      </c>
      <c r="D29" s="3" t="s">
        <v>471</v>
      </c>
      <c r="E29" s="3" t="s">
        <v>18</v>
      </c>
      <c r="F29" s="3">
        <v>3</v>
      </c>
      <c r="G29" s="3" t="s">
        <v>16</v>
      </c>
      <c r="H29" s="3" t="s">
        <v>17</v>
      </c>
      <c r="I29" s="3" t="s">
        <v>472</v>
      </c>
      <c r="J29" s="3" t="s">
        <v>430</v>
      </c>
      <c r="K29" s="3">
        <v>1</v>
      </c>
      <c r="L29" s="3" t="s">
        <v>473</v>
      </c>
      <c r="M29" s="3" t="str">
        <f>IF(B29="","","MCQ"&amp;"_"&amp;IFERROR(VLOOKUP(B29,LOOKUPS!$K$2:$L$10,2,FALSE),"UNK")&amp;"_"&amp;IFERROR(VLOOKUP(C29,LOOKUPS!$N$2:$O$10,2,FALSE),"UNK")&amp;"_"&amp;UPPER(L29))</f>
        <v>MCQ_CGT_REQ_RESDOM</v>
      </c>
      <c r="N29" s="3">
        <f>IF(M29="","",COUNTIF($M$2:M29,M29))</f>
        <v>2</v>
      </c>
      <c r="O29" s="3" t="s">
        <v>583</v>
      </c>
      <c r="P29" s="3" t="s">
        <v>823</v>
      </c>
      <c r="Q29" s="3" t="s">
        <v>582</v>
      </c>
      <c r="R29" s="3" t="s">
        <v>581</v>
      </c>
      <c r="S29" s="3" t="s">
        <v>580</v>
      </c>
      <c r="T29" s="3"/>
      <c r="U29" s="3" t="s">
        <v>225</v>
      </c>
      <c r="V29" s="3" t="s">
        <v>579</v>
      </c>
    </row>
    <row r="30" spans="1:22" ht="28.8" x14ac:dyDescent="0.3">
      <c r="A30" s="3" t="str">
        <f t="shared" si="0"/>
        <v>MCQ_CGT_REQ_RESDOM_003</v>
      </c>
      <c r="B30" s="3" t="s">
        <v>28</v>
      </c>
      <c r="C30" s="3" t="s">
        <v>22</v>
      </c>
      <c r="D30" s="3" t="s">
        <v>471</v>
      </c>
      <c r="E30" s="3" t="s">
        <v>18</v>
      </c>
      <c r="F30" s="3">
        <v>3</v>
      </c>
      <c r="G30" s="3" t="s">
        <v>16</v>
      </c>
      <c r="H30" s="3" t="s">
        <v>17</v>
      </c>
      <c r="I30" s="3" t="s">
        <v>481</v>
      </c>
      <c r="J30" s="3" t="s">
        <v>430</v>
      </c>
      <c r="K30" s="3">
        <v>1</v>
      </c>
      <c r="L30" s="3" t="s">
        <v>473</v>
      </c>
      <c r="M30" s="3" t="str">
        <f>IF(B30="","","MCQ"&amp;"_"&amp;IFERROR(VLOOKUP(B30,LOOKUPS!$K$2:$L$10,2,FALSE),"UNK")&amp;"_"&amp;IFERROR(VLOOKUP(C30,LOOKUPS!$N$2:$O$10,2,FALSE),"UNK")&amp;"_"&amp;UPPER(L30))</f>
        <v>MCQ_CGT_REQ_RESDOM</v>
      </c>
      <c r="N30" s="3">
        <f>IF(M30="","",COUNTIF($M$2:M30,M30))</f>
        <v>3</v>
      </c>
      <c r="O30" s="3" t="s">
        <v>578</v>
      </c>
      <c r="P30" s="3" t="s">
        <v>824</v>
      </c>
      <c r="Q30" s="3" t="s">
        <v>577</v>
      </c>
      <c r="R30" s="3" t="s">
        <v>576</v>
      </c>
      <c r="S30" s="3" t="s">
        <v>575</v>
      </c>
      <c r="T30" s="3"/>
      <c r="U30" s="3" t="s">
        <v>223</v>
      </c>
      <c r="V30" s="3" t="s">
        <v>574</v>
      </c>
    </row>
    <row r="31" spans="1:22" ht="43.2" x14ac:dyDescent="0.3">
      <c r="A31" s="3" t="str">
        <f t="shared" si="0"/>
        <v>MCQ_CGT_REQ_RESDOM_004</v>
      </c>
      <c r="B31" s="3" t="s">
        <v>28</v>
      </c>
      <c r="C31" s="3" t="s">
        <v>22</v>
      </c>
      <c r="D31" s="3" t="s">
        <v>471</v>
      </c>
      <c r="E31" s="3" t="s">
        <v>18</v>
      </c>
      <c r="F31" s="3">
        <v>3</v>
      </c>
      <c r="G31" s="3" t="s">
        <v>16</v>
      </c>
      <c r="H31" s="3" t="s">
        <v>17</v>
      </c>
      <c r="I31" s="3" t="s">
        <v>486</v>
      </c>
      <c r="J31" s="3" t="s">
        <v>430</v>
      </c>
      <c r="K31" s="3">
        <v>1</v>
      </c>
      <c r="L31" s="3" t="s">
        <v>473</v>
      </c>
      <c r="M31" s="3" t="str">
        <f>IF(B31="","","MCQ"&amp;"_"&amp;IFERROR(VLOOKUP(B31,LOOKUPS!$K$2:$L$10,2,FALSE),"UNK")&amp;"_"&amp;IFERROR(VLOOKUP(C31,LOOKUPS!$N$2:$O$10,2,FALSE),"UNK")&amp;"_"&amp;UPPER(L31))</f>
        <v>MCQ_CGT_REQ_RESDOM</v>
      </c>
      <c r="N31" s="3">
        <f>IF(M31="","",COUNTIF($M$2:M31,M31))</f>
        <v>4</v>
      </c>
      <c r="O31" s="3" t="s">
        <v>573</v>
      </c>
      <c r="P31" s="3" t="s">
        <v>825</v>
      </c>
      <c r="Q31" s="3" t="s">
        <v>572</v>
      </c>
      <c r="R31" s="3" t="s">
        <v>571</v>
      </c>
      <c r="S31" s="3" t="s">
        <v>570</v>
      </c>
      <c r="T31" s="3"/>
      <c r="U31" s="3" t="s">
        <v>225</v>
      </c>
      <c r="V31" s="3" t="s">
        <v>569</v>
      </c>
    </row>
    <row r="32" spans="1:22" ht="43.2" x14ac:dyDescent="0.3">
      <c r="A32" s="3" t="str">
        <f t="shared" si="0"/>
        <v>MCQ_CGT_DEF_RESDOM_001</v>
      </c>
      <c r="B32" s="3" t="s">
        <v>28</v>
      </c>
      <c r="C32" s="3" t="s">
        <v>15</v>
      </c>
      <c r="D32" s="3" t="s">
        <v>471</v>
      </c>
      <c r="E32" s="3" t="s">
        <v>18</v>
      </c>
      <c r="F32" s="3">
        <v>3</v>
      </c>
      <c r="G32" s="3" t="s">
        <v>16</v>
      </c>
      <c r="H32" s="3" t="s">
        <v>17</v>
      </c>
      <c r="I32" s="3" t="s">
        <v>492</v>
      </c>
      <c r="J32" s="3" t="s">
        <v>430</v>
      </c>
      <c r="K32" s="3">
        <v>1</v>
      </c>
      <c r="L32" s="3" t="s">
        <v>473</v>
      </c>
      <c r="M32" s="3" t="str">
        <f>IF(B32="","","MCQ"&amp;"_"&amp;IFERROR(VLOOKUP(B32,LOOKUPS!$K$2:$L$10,2,FALSE),"UNK")&amp;"_"&amp;IFERROR(VLOOKUP(C32,LOOKUPS!$N$2:$O$10,2,FALSE),"UNK")&amp;"_"&amp;UPPER(L32))</f>
        <v>MCQ_CGT_DEF_RESDOM</v>
      </c>
      <c r="N32" s="3">
        <f>IF(M32="","",COUNTIF($M$2:M32,M32))</f>
        <v>1</v>
      </c>
      <c r="O32" s="3" t="s">
        <v>568</v>
      </c>
      <c r="P32" s="3" t="s">
        <v>826</v>
      </c>
      <c r="Q32" s="3" t="s">
        <v>567</v>
      </c>
      <c r="R32" s="3" t="s">
        <v>566</v>
      </c>
      <c r="S32" s="3" t="s">
        <v>565</v>
      </c>
      <c r="T32" s="3"/>
      <c r="U32" s="3" t="s">
        <v>223</v>
      </c>
      <c r="V32" s="3" t="s">
        <v>564</v>
      </c>
    </row>
    <row r="33" spans="1:27" ht="43.2" x14ac:dyDescent="0.3">
      <c r="A33" s="3" t="str">
        <f t="shared" si="0"/>
        <v>MCQ_CGT_REQ_RESDOM_005</v>
      </c>
      <c r="B33" s="3" t="s">
        <v>28</v>
      </c>
      <c r="C33" s="3" t="s">
        <v>22</v>
      </c>
      <c r="D33" s="3" t="s">
        <v>471</v>
      </c>
      <c r="E33" s="3" t="s">
        <v>18</v>
      </c>
      <c r="F33" s="3">
        <v>3</v>
      </c>
      <c r="G33" s="3" t="s">
        <v>16</v>
      </c>
      <c r="H33" s="3" t="s">
        <v>17</v>
      </c>
      <c r="I33" s="3" t="s">
        <v>563</v>
      </c>
      <c r="J33" s="3" t="s">
        <v>430</v>
      </c>
      <c r="K33" s="3">
        <v>1</v>
      </c>
      <c r="L33" s="3" t="s">
        <v>473</v>
      </c>
      <c r="M33" s="3" t="str">
        <f>IF(B33="","","MCQ"&amp;"_"&amp;IFERROR(VLOOKUP(B33,LOOKUPS!$K$2:$L$10,2,FALSE),"UNK")&amp;"_"&amp;IFERROR(VLOOKUP(C33,LOOKUPS!$N$2:$O$10,2,FALSE),"UNK")&amp;"_"&amp;UPPER(L33))</f>
        <v>MCQ_CGT_REQ_RESDOM</v>
      </c>
      <c r="N33" s="3">
        <f>IF(M33="","",COUNTIF($M$2:M33,M33))</f>
        <v>5</v>
      </c>
      <c r="O33" s="3" t="s">
        <v>562</v>
      </c>
      <c r="P33" s="3" t="s">
        <v>827</v>
      </c>
      <c r="Q33" s="3" t="s">
        <v>561</v>
      </c>
      <c r="R33" s="3" t="s">
        <v>560</v>
      </c>
      <c r="S33" s="3" t="s">
        <v>559</v>
      </c>
      <c r="T33" s="3"/>
      <c r="U33" s="3" t="s">
        <v>131</v>
      </c>
      <c r="V33" s="3" t="s">
        <v>558</v>
      </c>
    </row>
    <row r="34" spans="1:27" ht="43.2" x14ac:dyDescent="0.3">
      <c r="A34" s="3" t="str">
        <f t="shared" si="0"/>
        <v>MCQ_CGT_REQ_RESDOM_006</v>
      </c>
      <c r="B34" s="3" t="s">
        <v>28</v>
      </c>
      <c r="C34" s="3" t="s">
        <v>22</v>
      </c>
      <c r="D34" s="3" t="s">
        <v>471</v>
      </c>
      <c r="E34" s="3" t="s">
        <v>18</v>
      </c>
      <c r="F34" s="3">
        <v>3</v>
      </c>
      <c r="G34" s="3" t="s">
        <v>16</v>
      </c>
      <c r="H34" s="3" t="s">
        <v>17</v>
      </c>
      <c r="I34" s="3" t="s">
        <v>557</v>
      </c>
      <c r="J34" s="3" t="s">
        <v>430</v>
      </c>
      <c r="K34" s="3">
        <v>1</v>
      </c>
      <c r="L34" s="3" t="s">
        <v>473</v>
      </c>
      <c r="M34" s="3" t="str">
        <f>IF(B34="","","MCQ"&amp;"_"&amp;IFERROR(VLOOKUP(B34,LOOKUPS!$K$2:$L$10,2,FALSE),"UNK")&amp;"_"&amp;IFERROR(VLOOKUP(C34,LOOKUPS!$N$2:$O$10,2,FALSE),"UNK")&amp;"_"&amp;UPPER(L34))</f>
        <v>MCQ_CGT_REQ_RESDOM</v>
      </c>
      <c r="N34" s="3">
        <f>IF(M34="","",COUNTIF($M$2:M34,M34))</f>
        <v>6</v>
      </c>
      <c r="O34" s="3" t="s">
        <v>556</v>
      </c>
      <c r="P34" s="3" t="s">
        <v>828</v>
      </c>
      <c r="Q34" s="3" t="s">
        <v>555</v>
      </c>
      <c r="R34" s="3" t="s">
        <v>554</v>
      </c>
      <c r="S34" s="3" t="s">
        <v>553</v>
      </c>
      <c r="T34" s="3"/>
      <c r="U34" s="3" t="s">
        <v>223</v>
      </c>
      <c r="V34" s="3" t="s">
        <v>552</v>
      </c>
    </row>
    <row r="35" spans="1:27" ht="43.2" x14ac:dyDescent="0.3">
      <c r="A35" s="3" t="str">
        <f t="shared" si="0"/>
        <v>MCQ_CGT_REQ_RESDOM_007</v>
      </c>
      <c r="B35" s="6" t="s">
        <v>28</v>
      </c>
      <c r="C35" s="6" t="s">
        <v>22</v>
      </c>
      <c r="D35" s="6" t="s">
        <v>471</v>
      </c>
      <c r="E35" s="6" t="s">
        <v>18</v>
      </c>
      <c r="F35" s="6">
        <v>3</v>
      </c>
      <c r="G35" s="6" t="s">
        <v>16</v>
      </c>
      <c r="H35" s="6" t="s">
        <v>17</v>
      </c>
      <c r="I35" s="6" t="s">
        <v>551</v>
      </c>
      <c r="J35" s="6" t="s">
        <v>430</v>
      </c>
      <c r="K35" s="6">
        <v>1</v>
      </c>
      <c r="L35" s="6" t="s">
        <v>473</v>
      </c>
      <c r="M35" s="3" t="str">
        <f>IF(B35="","","MCQ"&amp;"_"&amp;IFERROR(VLOOKUP(B35,LOOKUPS!$K$2:$L$10,2,FALSE),"UNK")&amp;"_"&amp;IFERROR(VLOOKUP(C35,LOOKUPS!$N$2:$O$10,2,FALSE),"UNK")&amp;"_"&amp;UPPER(L35))</f>
        <v>MCQ_CGT_REQ_RESDOM</v>
      </c>
      <c r="N35" s="3">
        <f>IF(M35="","",COUNTIF($M$2:M35,M35))</f>
        <v>7</v>
      </c>
      <c r="O35" s="6" t="s">
        <v>829</v>
      </c>
      <c r="P35" s="6" t="s">
        <v>830</v>
      </c>
      <c r="Q35" s="6" t="s">
        <v>550</v>
      </c>
      <c r="R35" s="6" t="s">
        <v>549</v>
      </c>
      <c r="S35" s="6" t="s">
        <v>548</v>
      </c>
      <c r="U35" s="6" t="s">
        <v>225</v>
      </c>
      <c r="V35" s="6" t="s">
        <v>547</v>
      </c>
    </row>
    <row r="36" spans="1:27" ht="43.2" x14ac:dyDescent="0.3">
      <c r="A36" s="3" t="str">
        <f t="shared" si="0"/>
        <v>MCQ_CGT_P_SPLITYR_001</v>
      </c>
      <c r="B36" s="6" t="s">
        <v>28</v>
      </c>
      <c r="C36" s="6" t="s">
        <v>818</v>
      </c>
      <c r="D36" s="6" t="s">
        <v>428</v>
      </c>
      <c r="E36" s="6" t="s">
        <v>18</v>
      </c>
      <c r="F36" s="6">
        <v>3</v>
      </c>
      <c r="G36" s="6" t="s">
        <v>16</v>
      </c>
      <c r="H36" s="6" t="s">
        <v>17</v>
      </c>
      <c r="I36" s="6" t="s">
        <v>429</v>
      </c>
      <c r="J36" s="6" t="s">
        <v>430</v>
      </c>
      <c r="K36" s="6">
        <v>1</v>
      </c>
      <c r="L36" s="6" t="s">
        <v>431</v>
      </c>
      <c r="M36" s="3" t="str">
        <f>IF(B36="","","MCQ"&amp;"_"&amp;IFERROR(VLOOKUP(B36,LOOKUPS!$K$2:$L$10,2,FALSE),"UNK")&amp;"_"&amp;IFERROR(VLOOKUP(C36,LOOKUPS!$N$2:$O$10,2,FALSE),"UNK")&amp;"_"&amp;UPPER(L36))</f>
        <v>MCQ_CGT_P_SPLITYR</v>
      </c>
      <c r="N36" s="3">
        <f>IF(M36="","",COUNTIF($M$2:M36,M36))</f>
        <v>1</v>
      </c>
      <c r="O36" s="6" t="s">
        <v>546</v>
      </c>
      <c r="P36" s="6" t="s">
        <v>545</v>
      </c>
      <c r="Q36" s="6" t="s">
        <v>544</v>
      </c>
      <c r="R36" s="6" t="s">
        <v>543</v>
      </c>
      <c r="S36" s="6" t="s">
        <v>542</v>
      </c>
      <c r="U36" s="6" t="s">
        <v>131</v>
      </c>
      <c r="V36" s="6" t="s">
        <v>541</v>
      </c>
    </row>
    <row r="37" spans="1:27" ht="43.2" x14ac:dyDescent="0.3">
      <c r="A37" s="3" t="str">
        <f t="shared" si="0"/>
        <v>MCQ_CGT_P_SPLITYR_002</v>
      </c>
      <c r="B37" s="6" t="s">
        <v>28</v>
      </c>
      <c r="C37" s="6" t="s">
        <v>818</v>
      </c>
      <c r="D37" s="6" t="s">
        <v>428</v>
      </c>
      <c r="E37" s="6" t="s">
        <v>18</v>
      </c>
      <c r="F37" s="6">
        <v>3</v>
      </c>
      <c r="G37" s="6" t="s">
        <v>16</v>
      </c>
      <c r="H37" s="6" t="s">
        <v>17</v>
      </c>
      <c r="I37" s="6" t="s">
        <v>438</v>
      </c>
      <c r="J37" s="6" t="s">
        <v>430</v>
      </c>
      <c r="K37" s="6">
        <v>1</v>
      </c>
      <c r="L37" s="6" t="s">
        <v>431</v>
      </c>
      <c r="M37" s="3" t="str">
        <f>IF(B37="","","MCQ"&amp;"_"&amp;IFERROR(VLOOKUP(B37,LOOKUPS!$K$2:$L$10,2,FALSE),"UNK")&amp;"_"&amp;IFERROR(VLOOKUP(C37,LOOKUPS!$N$2:$O$10,2,FALSE),"UNK")&amp;"_"&amp;UPPER(L37))</f>
        <v>MCQ_CGT_P_SPLITYR</v>
      </c>
      <c r="N37" s="3">
        <f>IF(M37="","",COUNTIF($M$2:M37,M37))</f>
        <v>2</v>
      </c>
      <c r="O37" s="6" t="s">
        <v>540</v>
      </c>
      <c r="P37" s="6" t="s">
        <v>539</v>
      </c>
      <c r="Q37" s="6" t="s">
        <v>538</v>
      </c>
      <c r="R37" s="6" t="s">
        <v>537</v>
      </c>
      <c r="S37" s="6" t="s">
        <v>536</v>
      </c>
      <c r="U37" s="6" t="s">
        <v>225</v>
      </c>
      <c r="V37" s="6" t="s">
        <v>535</v>
      </c>
    </row>
    <row r="38" spans="1:27" ht="43.2" x14ac:dyDescent="0.3">
      <c r="A38" s="3" t="str">
        <f t="shared" si="0"/>
        <v>MCQ_CGT_P_SPLITYR_003</v>
      </c>
      <c r="B38" s="6" t="s">
        <v>28</v>
      </c>
      <c r="C38" s="6" t="s">
        <v>818</v>
      </c>
      <c r="D38" s="6" t="s">
        <v>428</v>
      </c>
      <c r="E38" s="6" t="s">
        <v>18</v>
      </c>
      <c r="F38" s="6">
        <v>3</v>
      </c>
      <c r="G38" s="6" t="s">
        <v>16</v>
      </c>
      <c r="H38" s="6" t="s">
        <v>17</v>
      </c>
      <c r="I38" s="6" t="s">
        <v>534</v>
      </c>
      <c r="J38" s="6" t="s">
        <v>430</v>
      </c>
      <c r="K38" s="6">
        <v>1</v>
      </c>
      <c r="L38" s="6" t="s">
        <v>431</v>
      </c>
      <c r="M38" s="3" t="str">
        <f>IF(B38="","","MCQ"&amp;"_"&amp;IFERROR(VLOOKUP(B38,LOOKUPS!$K$2:$L$10,2,FALSE),"UNK")&amp;"_"&amp;IFERROR(VLOOKUP(C38,LOOKUPS!$N$2:$O$10,2,FALSE),"UNK")&amp;"_"&amp;UPPER(L38))</f>
        <v>MCQ_CGT_P_SPLITYR</v>
      </c>
      <c r="N38" s="3">
        <f>IF(M38="","",COUNTIF($M$2:M38,M38))</f>
        <v>3</v>
      </c>
      <c r="O38" s="6" t="s">
        <v>805</v>
      </c>
      <c r="P38" s="6" t="s">
        <v>533</v>
      </c>
      <c r="Q38" s="6" t="s">
        <v>532</v>
      </c>
      <c r="R38" s="6" t="s">
        <v>531</v>
      </c>
      <c r="S38" s="6" t="s">
        <v>530</v>
      </c>
      <c r="U38" s="6" t="s">
        <v>131</v>
      </c>
      <c r="V38" s="6" t="s">
        <v>529</v>
      </c>
    </row>
    <row r="39" spans="1:27" ht="43.2" x14ac:dyDescent="0.3">
      <c r="A39" s="3" t="str">
        <f t="shared" si="0"/>
        <v>MCQ_CGT_P_SPLITYR_004</v>
      </c>
      <c r="B39" s="6" t="s">
        <v>28</v>
      </c>
      <c r="C39" s="6" t="s">
        <v>818</v>
      </c>
      <c r="D39" s="6" t="s">
        <v>428</v>
      </c>
      <c r="E39" s="6" t="s">
        <v>18</v>
      </c>
      <c r="F39" s="6">
        <v>3</v>
      </c>
      <c r="G39" s="6" t="s">
        <v>16</v>
      </c>
      <c r="H39" s="6" t="s">
        <v>17</v>
      </c>
      <c r="I39" s="6" t="s">
        <v>528</v>
      </c>
      <c r="J39" s="6" t="s">
        <v>430</v>
      </c>
      <c r="K39" s="6">
        <v>1</v>
      </c>
      <c r="L39" s="6" t="s">
        <v>431</v>
      </c>
      <c r="M39" s="3" t="str">
        <f>IF(B39="","","MCQ"&amp;"_"&amp;IFERROR(VLOOKUP(B39,LOOKUPS!$K$2:$L$10,2,FALSE),"UNK")&amp;"_"&amp;IFERROR(VLOOKUP(C39,LOOKUPS!$N$2:$O$10,2,FALSE),"UNK")&amp;"_"&amp;UPPER(L39))</f>
        <v>MCQ_CGT_P_SPLITYR</v>
      </c>
      <c r="N39" s="3">
        <f>IF(M39="","",COUNTIF($M$2:M39,M39))</f>
        <v>4</v>
      </c>
      <c r="O39" s="6" t="s">
        <v>831</v>
      </c>
      <c r="P39" s="6" t="s">
        <v>527</v>
      </c>
      <c r="Q39" s="6" t="s">
        <v>526</v>
      </c>
      <c r="R39" s="6" t="s">
        <v>525</v>
      </c>
      <c r="S39" s="6" t="s">
        <v>524</v>
      </c>
      <c r="U39" s="6" t="s">
        <v>223</v>
      </c>
      <c r="V39" s="6" t="s">
        <v>523</v>
      </c>
    </row>
    <row r="40" spans="1:27" ht="57.6" x14ac:dyDescent="0.3">
      <c r="A40" s="3" t="str">
        <f t="shared" si="0"/>
        <v>MCQ_CGT_REQ_SPLITYR_001</v>
      </c>
      <c r="B40" s="6" t="s">
        <v>28</v>
      </c>
      <c r="C40" s="6" t="s">
        <v>22</v>
      </c>
      <c r="D40" s="6" t="s">
        <v>428</v>
      </c>
      <c r="E40" s="6" t="s">
        <v>18</v>
      </c>
      <c r="F40" s="6">
        <v>3</v>
      </c>
      <c r="G40" s="6" t="s">
        <v>16</v>
      </c>
      <c r="H40" s="6" t="s">
        <v>17</v>
      </c>
      <c r="I40" s="6" t="s">
        <v>452</v>
      </c>
      <c r="J40" s="6" t="s">
        <v>430</v>
      </c>
      <c r="K40" s="6">
        <v>1</v>
      </c>
      <c r="L40" s="6" t="s">
        <v>431</v>
      </c>
      <c r="M40" s="3" t="str">
        <f>IF(B40="","","MCQ"&amp;"_"&amp;IFERROR(VLOOKUP(B40,LOOKUPS!$K$2:$L$10,2,FALSE),"UNK")&amp;"_"&amp;IFERROR(VLOOKUP(C40,LOOKUPS!$N$2:$O$10,2,FALSE),"UNK")&amp;"_"&amp;UPPER(L40))</f>
        <v>MCQ_CGT_REQ_SPLITYR</v>
      </c>
      <c r="N40" s="3">
        <f>IF(M40="","",COUNTIF($M$2:M40,M40))</f>
        <v>1</v>
      </c>
      <c r="O40" s="6" t="s">
        <v>522</v>
      </c>
      <c r="P40" s="6" t="s">
        <v>521</v>
      </c>
      <c r="Q40" s="6" t="s">
        <v>520</v>
      </c>
      <c r="R40" s="6" t="s">
        <v>519</v>
      </c>
      <c r="S40" s="6" t="s">
        <v>518</v>
      </c>
      <c r="U40" s="6" t="s">
        <v>225</v>
      </c>
      <c r="V40" s="6" t="s">
        <v>517</v>
      </c>
    </row>
    <row r="41" spans="1:27" ht="28.8" x14ac:dyDescent="0.3">
      <c r="A41" s="3" t="str">
        <f t="shared" si="0"/>
        <v>MCQ_CGT_REQ_SPLITYR_002</v>
      </c>
      <c r="B41" s="6" t="s">
        <v>28</v>
      </c>
      <c r="C41" s="6" t="s">
        <v>22</v>
      </c>
      <c r="D41" s="6" t="s">
        <v>428</v>
      </c>
      <c r="E41" s="6" t="s">
        <v>18</v>
      </c>
      <c r="F41" s="6">
        <v>3</v>
      </c>
      <c r="G41" s="6" t="s">
        <v>16</v>
      </c>
      <c r="H41" s="6" t="s">
        <v>17</v>
      </c>
      <c r="I41" s="6" t="s">
        <v>459</v>
      </c>
      <c r="J41" s="6" t="s">
        <v>430</v>
      </c>
      <c r="K41" s="6">
        <v>1</v>
      </c>
      <c r="L41" s="6" t="s">
        <v>431</v>
      </c>
      <c r="M41" s="3" t="str">
        <f>IF(B41="","","MCQ"&amp;"_"&amp;IFERROR(VLOOKUP(B41,LOOKUPS!$K$2:$L$10,2,FALSE),"UNK")&amp;"_"&amp;IFERROR(VLOOKUP(C41,LOOKUPS!$N$2:$O$10,2,FALSE),"UNK")&amp;"_"&amp;UPPER(L41))</f>
        <v>MCQ_CGT_REQ_SPLITYR</v>
      </c>
      <c r="N41" s="3">
        <f>IF(M41="","",COUNTIF($M$2:M41,M41))</f>
        <v>2</v>
      </c>
      <c r="O41" s="6" t="s">
        <v>832</v>
      </c>
      <c r="P41" s="6" t="s">
        <v>516</v>
      </c>
      <c r="Q41" s="6" t="s">
        <v>515</v>
      </c>
      <c r="R41" s="6" t="s">
        <v>514</v>
      </c>
      <c r="S41" s="6" t="s">
        <v>513</v>
      </c>
      <c r="U41" s="6" t="s">
        <v>223</v>
      </c>
      <c r="V41" s="6" t="s">
        <v>512</v>
      </c>
    </row>
    <row r="42" spans="1:27" ht="57.6" x14ac:dyDescent="0.3">
      <c r="A42" s="3" t="str">
        <f t="shared" si="0"/>
        <v>MCQ_CGT_P_SPLITYR_005</v>
      </c>
      <c r="B42" s="6" t="s">
        <v>28</v>
      </c>
      <c r="C42" s="6" t="s">
        <v>818</v>
      </c>
      <c r="D42" s="6" t="s">
        <v>428</v>
      </c>
      <c r="E42" s="6" t="s">
        <v>18</v>
      </c>
      <c r="F42" s="6">
        <v>3</v>
      </c>
      <c r="G42" s="6" t="s">
        <v>16</v>
      </c>
      <c r="H42" s="6" t="s">
        <v>17</v>
      </c>
      <c r="I42" s="6" t="s">
        <v>465</v>
      </c>
      <c r="J42" s="6" t="s">
        <v>430</v>
      </c>
      <c r="K42" s="6">
        <v>1</v>
      </c>
      <c r="L42" s="6" t="s">
        <v>431</v>
      </c>
      <c r="M42" s="3" t="str">
        <f>IF(B42="","","MCQ"&amp;"_"&amp;IFERROR(VLOOKUP(B42,LOOKUPS!$K$2:$L$10,2,FALSE),"UNK")&amp;"_"&amp;IFERROR(VLOOKUP(C42,LOOKUPS!$N$2:$O$10,2,FALSE),"UNK")&amp;"_"&amp;UPPER(L42))</f>
        <v>MCQ_CGT_P_SPLITYR</v>
      </c>
      <c r="N42" s="3">
        <f>IF(M42="","",COUNTIF($M$2:M42,M42))</f>
        <v>5</v>
      </c>
      <c r="O42" s="6" t="s">
        <v>833</v>
      </c>
      <c r="P42" s="6" t="s">
        <v>511</v>
      </c>
      <c r="Q42" s="6" t="s">
        <v>510</v>
      </c>
      <c r="R42" s="6" t="s">
        <v>509</v>
      </c>
      <c r="S42" s="6" t="s">
        <v>508</v>
      </c>
      <c r="U42" s="6" t="s">
        <v>225</v>
      </c>
      <c r="V42" s="6" t="s">
        <v>507</v>
      </c>
    </row>
    <row r="43" spans="1:27" customFormat="1" ht="86.4" x14ac:dyDescent="0.3">
      <c r="A43" s="3" t="str">
        <f t="shared" si="0"/>
        <v>MCQ_IHT_REQ_DOMICILE_001</v>
      </c>
      <c r="B43" s="6" t="s">
        <v>34</v>
      </c>
      <c r="C43" s="6" t="s">
        <v>22</v>
      </c>
      <c r="D43" s="6" t="s">
        <v>608</v>
      </c>
      <c r="E43" s="6" t="s">
        <v>18</v>
      </c>
      <c r="F43" s="6">
        <v>3</v>
      </c>
      <c r="G43" s="6" t="s">
        <v>16</v>
      </c>
      <c r="H43" s="6" t="s">
        <v>17</v>
      </c>
      <c r="I43" s="6" t="s">
        <v>589</v>
      </c>
      <c r="J43" s="6" t="s">
        <v>590</v>
      </c>
      <c r="K43" s="6">
        <v>1</v>
      </c>
      <c r="L43" s="6" t="s">
        <v>642</v>
      </c>
      <c r="M43" s="3" t="str">
        <f>IF(B43="","","MCQ"&amp;"_"&amp;IFERROR(VLOOKUP(B43,LOOKUPS!$K$2:$L$10,2,FALSE),"UNK")&amp;"_"&amp;IFERROR(VLOOKUP(C43,LOOKUPS!$N$2:$O$10,2,FALSE),"UNK")&amp;"_"&amp;UPPER(L43))</f>
        <v>MCQ_IHT_REQ_DOMICILE</v>
      </c>
      <c r="N43" s="3">
        <f>IF(M43="","",COUNTIF($M$2:M43,M43))</f>
        <v>1</v>
      </c>
      <c r="O43" s="6" t="s">
        <v>592</v>
      </c>
      <c r="P43" s="6" t="s">
        <v>609</v>
      </c>
      <c r="Q43" s="10" t="s">
        <v>610</v>
      </c>
      <c r="R43" s="10" t="s">
        <v>611</v>
      </c>
      <c r="S43" s="6" t="s">
        <v>612</v>
      </c>
      <c r="T43" s="6"/>
      <c r="U43" s="11" t="s">
        <v>225</v>
      </c>
      <c r="V43" s="6" t="s">
        <v>835</v>
      </c>
      <c r="X43" s="4"/>
      <c r="AA43" s="5"/>
    </row>
    <row r="44" spans="1:27" customFormat="1" ht="43.2" x14ac:dyDescent="0.3">
      <c r="A44" s="3" t="str">
        <f t="shared" si="0"/>
        <v>MCQ_IHT_REQ_DOMICILE_002</v>
      </c>
      <c r="B44" s="6" t="s">
        <v>34</v>
      </c>
      <c r="C44" s="6" t="s">
        <v>22</v>
      </c>
      <c r="D44" s="6" t="s">
        <v>608</v>
      </c>
      <c r="E44" s="6" t="s">
        <v>18</v>
      </c>
      <c r="F44" s="6">
        <v>3</v>
      </c>
      <c r="G44" s="6" t="s">
        <v>16</v>
      </c>
      <c r="H44" s="6" t="s">
        <v>17</v>
      </c>
      <c r="I44" s="6" t="s">
        <v>593</v>
      </c>
      <c r="J44" s="6" t="s">
        <v>590</v>
      </c>
      <c r="K44" s="6">
        <v>1</v>
      </c>
      <c r="L44" s="6" t="s">
        <v>642</v>
      </c>
      <c r="M44" s="3" t="str">
        <f>IF(B44="","","MCQ"&amp;"_"&amp;IFERROR(VLOOKUP(B44,LOOKUPS!$K$2:$L$10,2,FALSE),"UNK")&amp;"_"&amp;IFERROR(VLOOKUP(C44,LOOKUPS!$N$2:$O$10,2,FALSE),"UNK")&amp;"_"&amp;UPPER(L44))</f>
        <v>MCQ_IHT_REQ_DOMICILE</v>
      </c>
      <c r="N44" s="3">
        <f>IF(M44="","",COUNTIF($M$2:M44,M44))</f>
        <v>2</v>
      </c>
      <c r="O44" s="6" t="s">
        <v>836</v>
      </c>
      <c r="P44" s="6" t="s">
        <v>613</v>
      </c>
      <c r="Q44" s="11" t="s">
        <v>614</v>
      </c>
      <c r="R44" s="6" t="s">
        <v>615</v>
      </c>
      <c r="S44" s="6" t="s">
        <v>616</v>
      </c>
      <c r="T44" s="6"/>
      <c r="U44" s="6" t="s">
        <v>223</v>
      </c>
      <c r="V44" s="6" t="s">
        <v>617</v>
      </c>
    </row>
    <row r="45" spans="1:27" customFormat="1" ht="57.6" x14ac:dyDescent="0.3">
      <c r="A45" s="3" t="str">
        <f t="shared" si="0"/>
        <v>MCQ_IHT_REQ_DOMICILE_003</v>
      </c>
      <c r="B45" s="6" t="s">
        <v>34</v>
      </c>
      <c r="C45" s="6" t="s">
        <v>22</v>
      </c>
      <c r="D45" s="6" t="s">
        <v>608</v>
      </c>
      <c r="E45" s="6" t="s">
        <v>18</v>
      </c>
      <c r="F45" s="6">
        <v>3</v>
      </c>
      <c r="G45" s="6" t="s">
        <v>16</v>
      </c>
      <c r="H45" s="6" t="s">
        <v>17</v>
      </c>
      <c r="I45" s="6" t="s">
        <v>596</v>
      </c>
      <c r="J45" s="6" t="s">
        <v>590</v>
      </c>
      <c r="K45" s="6">
        <v>1</v>
      </c>
      <c r="L45" s="6" t="s">
        <v>642</v>
      </c>
      <c r="M45" s="3" t="str">
        <f>IF(B45="","","MCQ"&amp;"_"&amp;IFERROR(VLOOKUP(B45,LOOKUPS!$K$2:$L$10,2,FALSE),"UNK")&amp;"_"&amp;IFERROR(VLOOKUP(C45,LOOKUPS!$N$2:$O$10,2,FALSE),"UNK")&amp;"_"&amp;UPPER(L45))</f>
        <v>MCQ_IHT_REQ_DOMICILE</v>
      </c>
      <c r="N45" s="3">
        <f>IF(M45="","",COUNTIF($M$2:M45,M45))</f>
        <v>3</v>
      </c>
      <c r="O45" s="6" t="s">
        <v>597</v>
      </c>
      <c r="P45" s="6" t="s">
        <v>618</v>
      </c>
      <c r="Q45" s="11" t="s">
        <v>619</v>
      </c>
      <c r="R45" s="6" t="s">
        <v>620</v>
      </c>
      <c r="S45" s="6" t="s">
        <v>621</v>
      </c>
      <c r="T45" s="6"/>
      <c r="U45" s="6" t="s">
        <v>131</v>
      </c>
      <c r="V45" s="6" t="s">
        <v>622</v>
      </c>
    </row>
    <row r="46" spans="1:27" customFormat="1" ht="43.2" x14ac:dyDescent="0.3">
      <c r="A46" s="3" t="str">
        <f t="shared" si="0"/>
        <v>MCQ_IHT_REQ_DOMICILE_004</v>
      </c>
      <c r="B46" s="6" t="s">
        <v>34</v>
      </c>
      <c r="C46" s="6" t="s">
        <v>22</v>
      </c>
      <c r="D46" s="6" t="s">
        <v>608</v>
      </c>
      <c r="E46" s="6" t="s">
        <v>18</v>
      </c>
      <c r="F46" s="6">
        <v>3</v>
      </c>
      <c r="G46" s="6" t="s">
        <v>16</v>
      </c>
      <c r="H46" s="6" t="s">
        <v>17</v>
      </c>
      <c r="I46" s="6" t="s">
        <v>598</v>
      </c>
      <c r="J46" s="6" t="s">
        <v>590</v>
      </c>
      <c r="K46" s="6">
        <v>1</v>
      </c>
      <c r="L46" s="6" t="s">
        <v>642</v>
      </c>
      <c r="M46" s="3" t="str">
        <f>IF(B46="","","MCQ"&amp;"_"&amp;IFERROR(VLOOKUP(B46,LOOKUPS!$K$2:$L$10,2,FALSE),"UNK")&amp;"_"&amp;IFERROR(VLOOKUP(C46,LOOKUPS!$N$2:$O$10,2,FALSE),"UNK")&amp;"_"&amp;UPPER(L46))</f>
        <v>MCQ_IHT_REQ_DOMICILE</v>
      </c>
      <c r="N46" s="3">
        <f>IF(M46="","",COUNTIF($M$2:M46,M46))</f>
        <v>4</v>
      </c>
      <c r="O46" s="6" t="s">
        <v>599</v>
      </c>
      <c r="P46" s="6" t="s">
        <v>623</v>
      </c>
      <c r="Q46" s="6" t="s">
        <v>624</v>
      </c>
      <c r="R46" s="6" t="s">
        <v>625</v>
      </c>
      <c r="S46" s="6" t="s">
        <v>626</v>
      </c>
      <c r="T46" s="6"/>
      <c r="U46" s="6" t="s">
        <v>225</v>
      </c>
      <c r="V46" s="6" t="s">
        <v>627</v>
      </c>
    </row>
    <row r="47" spans="1:27" customFormat="1" ht="43.2" x14ac:dyDescent="0.3">
      <c r="A47" s="3" t="str">
        <f t="shared" si="0"/>
        <v>MCQ_IHT_REQ_DOMICILE_005</v>
      </c>
      <c r="B47" s="6" t="s">
        <v>34</v>
      </c>
      <c r="C47" s="6" t="s">
        <v>22</v>
      </c>
      <c r="D47" s="6" t="s">
        <v>608</v>
      </c>
      <c r="E47" s="6" t="s">
        <v>18</v>
      </c>
      <c r="F47" s="6">
        <v>3</v>
      </c>
      <c r="G47" s="6" t="s">
        <v>16</v>
      </c>
      <c r="H47" s="6" t="s">
        <v>17</v>
      </c>
      <c r="I47" s="6" t="s">
        <v>600</v>
      </c>
      <c r="J47" s="6" t="s">
        <v>590</v>
      </c>
      <c r="K47" s="6">
        <v>1</v>
      </c>
      <c r="L47" s="6" t="s">
        <v>642</v>
      </c>
      <c r="M47" s="3" t="str">
        <f>IF(B47="","","MCQ"&amp;"_"&amp;IFERROR(VLOOKUP(B47,LOOKUPS!$K$2:$L$10,2,FALSE),"UNK")&amp;"_"&amp;IFERROR(VLOOKUP(C47,LOOKUPS!$N$2:$O$10,2,FALSE),"UNK")&amp;"_"&amp;UPPER(L47))</f>
        <v>MCQ_IHT_REQ_DOMICILE</v>
      </c>
      <c r="N47" s="3">
        <f>IF(M47="","",COUNTIF($M$2:M47,M47))</f>
        <v>5</v>
      </c>
      <c r="O47" s="6" t="s">
        <v>628</v>
      </c>
      <c r="P47" s="6" t="s">
        <v>629</v>
      </c>
      <c r="Q47" s="11" t="s">
        <v>630</v>
      </c>
      <c r="R47" s="10" t="s">
        <v>631</v>
      </c>
      <c r="S47" s="6" t="s">
        <v>632</v>
      </c>
      <c r="T47" s="6"/>
      <c r="U47" s="6" t="s">
        <v>223</v>
      </c>
      <c r="V47" s="6" t="s">
        <v>633</v>
      </c>
    </row>
    <row r="48" spans="1:27" customFormat="1" ht="86.4" x14ac:dyDescent="0.3">
      <c r="A48" s="3" t="str">
        <f t="shared" si="0"/>
        <v>MCQ_IHT_REQ_DOMICILE_006</v>
      </c>
      <c r="B48" s="6" t="s">
        <v>34</v>
      </c>
      <c r="C48" s="6" t="s">
        <v>22</v>
      </c>
      <c r="D48" s="6" t="s">
        <v>608</v>
      </c>
      <c r="E48" s="6" t="s">
        <v>18</v>
      </c>
      <c r="F48" s="6">
        <v>3</v>
      </c>
      <c r="G48" s="6" t="s">
        <v>16</v>
      </c>
      <c r="H48" s="6" t="s">
        <v>17</v>
      </c>
      <c r="I48" s="6" t="s">
        <v>601</v>
      </c>
      <c r="J48" s="6" t="s">
        <v>590</v>
      </c>
      <c r="K48" s="6">
        <v>1</v>
      </c>
      <c r="L48" s="6" t="s">
        <v>642</v>
      </c>
      <c r="M48" s="3" t="str">
        <f>IF(B48="","","MCQ"&amp;"_"&amp;IFERROR(VLOOKUP(B48,LOOKUPS!$K$2:$L$10,2,FALSE),"UNK")&amp;"_"&amp;IFERROR(VLOOKUP(C48,LOOKUPS!$N$2:$O$10,2,FALSE),"UNK")&amp;"_"&amp;UPPER(L48))</f>
        <v>MCQ_IHT_REQ_DOMICILE</v>
      </c>
      <c r="N48" s="3">
        <f>IF(M48="","",COUNTIF($M$2:M48,M48))</f>
        <v>6</v>
      </c>
      <c r="O48" s="6" t="s">
        <v>837</v>
      </c>
      <c r="P48" s="10">
        <v>325000</v>
      </c>
      <c r="Q48" s="6" t="s">
        <v>838</v>
      </c>
      <c r="R48" s="6" t="s">
        <v>839</v>
      </c>
      <c r="S48" s="6" t="s">
        <v>840</v>
      </c>
      <c r="T48" s="6"/>
      <c r="U48" s="6" t="s">
        <v>225</v>
      </c>
      <c r="V48" s="6" t="s">
        <v>841</v>
      </c>
    </row>
    <row r="49" spans="1:27" customFormat="1" ht="72" x14ac:dyDescent="0.3">
      <c r="A49" s="3" t="str">
        <f t="shared" si="0"/>
        <v>MCQ_IHT_REQ_DOMICILE_007</v>
      </c>
      <c r="B49" s="6" t="s">
        <v>34</v>
      </c>
      <c r="C49" s="6" t="s">
        <v>22</v>
      </c>
      <c r="D49" s="6" t="s">
        <v>608</v>
      </c>
      <c r="E49" s="6" t="s">
        <v>18</v>
      </c>
      <c r="F49" s="6">
        <v>3</v>
      </c>
      <c r="G49" s="6" t="s">
        <v>16</v>
      </c>
      <c r="H49" s="6" t="s">
        <v>17</v>
      </c>
      <c r="I49" s="6" t="s">
        <v>602</v>
      </c>
      <c r="J49" s="6" t="s">
        <v>590</v>
      </c>
      <c r="K49" s="6">
        <v>1</v>
      </c>
      <c r="L49" s="6" t="s">
        <v>642</v>
      </c>
      <c r="M49" s="3" t="str">
        <f>IF(B49="","","MCQ"&amp;"_"&amp;IFERROR(VLOOKUP(B49,LOOKUPS!$K$2:$L$10,2,FALSE),"UNK")&amp;"_"&amp;IFERROR(VLOOKUP(C49,LOOKUPS!$N$2:$O$10,2,FALSE),"UNK")&amp;"_"&amp;UPPER(L49))</f>
        <v>MCQ_IHT_REQ_DOMICILE</v>
      </c>
      <c r="N49" s="3">
        <f>IF(M49="","",COUNTIF($M$2:M49,M49))</f>
        <v>7</v>
      </c>
      <c r="O49" s="6" t="s">
        <v>634</v>
      </c>
      <c r="P49" s="6" t="s">
        <v>603</v>
      </c>
      <c r="Q49" s="11" t="s">
        <v>604</v>
      </c>
      <c r="R49" s="11" t="s">
        <v>605</v>
      </c>
      <c r="S49" s="6" t="s">
        <v>635</v>
      </c>
      <c r="T49" s="6"/>
      <c r="U49" s="6" t="s">
        <v>131</v>
      </c>
      <c r="V49" s="6" t="s">
        <v>636</v>
      </c>
    </row>
    <row r="50" spans="1:27" customFormat="1" ht="28.8" x14ac:dyDescent="0.3">
      <c r="A50" s="3" t="str">
        <f t="shared" si="0"/>
        <v>MCQ_IHT_REQ_DOMICILE_008</v>
      </c>
      <c r="B50" s="6" t="s">
        <v>34</v>
      </c>
      <c r="C50" s="6" t="s">
        <v>22</v>
      </c>
      <c r="D50" s="6" t="s">
        <v>608</v>
      </c>
      <c r="E50" s="6" t="s">
        <v>18</v>
      </c>
      <c r="F50" s="6">
        <v>3</v>
      </c>
      <c r="G50" s="6" t="s">
        <v>16</v>
      </c>
      <c r="H50" s="6" t="s">
        <v>17</v>
      </c>
      <c r="I50" s="6" t="s">
        <v>606</v>
      </c>
      <c r="J50" s="6" t="s">
        <v>590</v>
      </c>
      <c r="K50" s="6">
        <v>1</v>
      </c>
      <c r="L50" s="6" t="s">
        <v>642</v>
      </c>
      <c r="M50" s="3" t="str">
        <f>IF(B50="","","MCQ"&amp;"_"&amp;IFERROR(VLOOKUP(B50,LOOKUPS!$K$2:$L$10,2,FALSE),"UNK")&amp;"_"&amp;IFERROR(VLOOKUP(C50,LOOKUPS!$N$2:$O$10,2,FALSE),"UNK")&amp;"_"&amp;UPPER(L50))</f>
        <v>MCQ_IHT_REQ_DOMICILE</v>
      </c>
      <c r="N50" s="3">
        <f>IF(M50="","",COUNTIF($M$2:M50,M50))</f>
        <v>8</v>
      </c>
      <c r="O50" s="6" t="s">
        <v>834</v>
      </c>
      <c r="P50" s="6" t="s">
        <v>637</v>
      </c>
      <c r="Q50" s="6" t="s">
        <v>638</v>
      </c>
      <c r="R50" s="6" t="s">
        <v>639</v>
      </c>
      <c r="S50" s="6" t="s">
        <v>640</v>
      </c>
      <c r="T50" s="6"/>
      <c r="U50" s="6" t="s">
        <v>223</v>
      </c>
      <c r="V50" s="6" t="s">
        <v>641</v>
      </c>
    </row>
    <row r="51" spans="1:27" customFormat="1" ht="28.8" x14ac:dyDescent="0.3">
      <c r="A51" s="3" t="str">
        <f t="shared" si="0"/>
        <v>MCQ_ITNIC_CALC_DISALLOW_001</v>
      </c>
      <c r="B51" t="s">
        <v>21</v>
      </c>
      <c r="C51" t="s">
        <v>40</v>
      </c>
      <c r="D51" t="s">
        <v>868</v>
      </c>
      <c r="E51" t="s">
        <v>18</v>
      </c>
      <c r="F51">
        <v>3</v>
      </c>
      <c r="G51" t="s">
        <v>16</v>
      </c>
      <c r="H51" t="s">
        <v>17</v>
      </c>
      <c r="I51" t="s">
        <v>869</v>
      </c>
      <c r="J51" t="s">
        <v>870</v>
      </c>
      <c r="K51">
        <v>1</v>
      </c>
      <c r="L51" t="s">
        <v>871</v>
      </c>
      <c r="M51" s="3" t="str">
        <f>IF(B51="","","MCQ"&amp;"_"&amp;IFERROR(VLOOKUP(B51,LOOKUPS!$K$2:$L$10,2,FALSE),"UNK")&amp;"_"&amp;IFERROR(VLOOKUP(C51,LOOKUPS!$N$2:$O$10,2,FALSE),"UNK")&amp;"_"&amp;UPPER(L51))</f>
        <v>MCQ_ITNIC_CALC_DISALLOW</v>
      </c>
      <c r="N51" s="3">
        <f>IF(M51="","",COUNTIF($M$2:M51,M51))</f>
        <v>1</v>
      </c>
      <c r="O51" t="s">
        <v>872</v>
      </c>
      <c r="P51" t="s">
        <v>873</v>
      </c>
      <c r="Q51" s="4" t="s">
        <v>911</v>
      </c>
      <c r="R51" s="4" t="s">
        <v>874</v>
      </c>
      <c r="S51" t="s">
        <v>875</v>
      </c>
      <c r="T51" t="s">
        <v>876</v>
      </c>
      <c r="U51" s="5" t="s">
        <v>223</v>
      </c>
      <c r="V51" t="s">
        <v>877</v>
      </c>
      <c r="X51" s="4"/>
      <c r="AA51" s="5"/>
    </row>
    <row r="52" spans="1:27" customFormat="1" ht="28.8" x14ac:dyDescent="0.3">
      <c r="A52" s="3" t="str">
        <f t="shared" si="0"/>
        <v>MCQ_ITNIC_CALC_DISALLOW_002</v>
      </c>
      <c r="B52" t="s">
        <v>21</v>
      </c>
      <c r="C52" t="s">
        <v>40</v>
      </c>
      <c r="D52" t="s">
        <v>868</v>
      </c>
      <c r="E52" t="s">
        <v>18</v>
      </c>
      <c r="F52">
        <v>3</v>
      </c>
      <c r="G52" t="s">
        <v>16</v>
      </c>
      <c r="H52" t="s">
        <v>17</v>
      </c>
      <c r="I52" t="s">
        <v>878</v>
      </c>
      <c r="J52" t="s">
        <v>870</v>
      </c>
      <c r="K52">
        <v>1</v>
      </c>
      <c r="L52" t="s">
        <v>871</v>
      </c>
      <c r="M52" s="3" t="str">
        <f>IF(B52="","","MCQ"&amp;"_"&amp;IFERROR(VLOOKUP(B52,LOOKUPS!$K$2:$L$10,2,FALSE),"UNK")&amp;"_"&amp;IFERROR(VLOOKUP(C52,LOOKUPS!$N$2:$O$10,2,FALSE),"UNK")&amp;"_"&amp;UPPER(L52))</f>
        <v>MCQ_ITNIC_CALC_DISALLOW</v>
      </c>
      <c r="N52" s="3">
        <f>IF(M52="","",COUNTIF($M$2:M52,M52))</f>
        <v>2</v>
      </c>
      <c r="O52" t="s">
        <v>879</v>
      </c>
      <c r="P52" t="s">
        <v>880</v>
      </c>
      <c r="Q52" s="5" t="s">
        <v>881</v>
      </c>
      <c r="R52" t="s">
        <v>882</v>
      </c>
      <c r="S52" t="s">
        <v>883</v>
      </c>
      <c r="T52" t="s">
        <v>912</v>
      </c>
      <c r="U52" t="s">
        <v>226</v>
      </c>
      <c r="V52" t="s">
        <v>884</v>
      </c>
    </row>
    <row r="53" spans="1:27" customFormat="1" ht="28.8" x14ac:dyDescent="0.3">
      <c r="A53" s="3" t="str">
        <f t="shared" si="0"/>
        <v>MCQ_ITNIC_CALC_DISALLOW_003</v>
      </c>
      <c r="B53" t="s">
        <v>21</v>
      </c>
      <c r="C53" t="s">
        <v>40</v>
      </c>
      <c r="D53" t="s">
        <v>868</v>
      </c>
      <c r="E53" t="s">
        <v>18</v>
      </c>
      <c r="F53">
        <v>3</v>
      </c>
      <c r="G53" t="s">
        <v>16</v>
      </c>
      <c r="H53" t="s">
        <v>17</v>
      </c>
      <c r="I53" t="s">
        <v>885</v>
      </c>
      <c r="J53" t="s">
        <v>870</v>
      </c>
      <c r="K53">
        <v>1</v>
      </c>
      <c r="L53" t="s">
        <v>871</v>
      </c>
      <c r="M53" s="3" t="str">
        <f>IF(B53="","","MCQ"&amp;"_"&amp;IFERROR(VLOOKUP(B53,LOOKUPS!$K$2:$L$10,2,FALSE),"UNK")&amp;"_"&amp;IFERROR(VLOOKUP(C53,LOOKUPS!$N$2:$O$10,2,FALSE),"UNK")&amp;"_"&amp;UPPER(L53))</f>
        <v>MCQ_ITNIC_CALC_DISALLOW</v>
      </c>
      <c r="N53" s="3">
        <f>IF(M53="","",COUNTIF($M$2:M53,M53))</f>
        <v>3</v>
      </c>
      <c r="O53" t="s">
        <v>886</v>
      </c>
      <c r="P53" t="s">
        <v>914</v>
      </c>
      <c r="Q53" s="5" t="s">
        <v>915</v>
      </c>
      <c r="R53" t="s">
        <v>887</v>
      </c>
      <c r="S53" t="s">
        <v>888</v>
      </c>
      <c r="T53" t="s">
        <v>913</v>
      </c>
      <c r="U53" t="s">
        <v>223</v>
      </c>
      <c r="V53" t="s">
        <v>889</v>
      </c>
    </row>
    <row r="54" spans="1:27" customFormat="1" ht="28.8" x14ac:dyDescent="0.3">
      <c r="A54" s="3" t="str">
        <f t="shared" si="0"/>
        <v>MCQ_ITNIC_CALC_DISALLOW_004</v>
      </c>
      <c r="B54" t="s">
        <v>21</v>
      </c>
      <c r="C54" t="s">
        <v>40</v>
      </c>
      <c r="D54" t="s">
        <v>868</v>
      </c>
      <c r="E54" t="s">
        <v>18</v>
      </c>
      <c r="F54">
        <v>3</v>
      </c>
      <c r="G54" t="s">
        <v>16</v>
      </c>
      <c r="H54" t="s">
        <v>17</v>
      </c>
      <c r="I54" t="s">
        <v>890</v>
      </c>
      <c r="J54" t="s">
        <v>870</v>
      </c>
      <c r="K54">
        <v>1</v>
      </c>
      <c r="L54" t="s">
        <v>871</v>
      </c>
      <c r="M54" s="3" t="str">
        <f>IF(B54="","","MCQ"&amp;"_"&amp;IFERROR(VLOOKUP(B54,LOOKUPS!$K$2:$L$10,2,FALSE),"UNK")&amp;"_"&amp;IFERROR(VLOOKUP(C54,LOOKUPS!$N$2:$O$10,2,FALSE),"UNK")&amp;"_"&amp;UPPER(L54))</f>
        <v>MCQ_ITNIC_CALC_DISALLOW</v>
      </c>
      <c r="N54" s="3">
        <f>IF(M54="","",COUNTIF($M$2:M54,M54))</f>
        <v>4</v>
      </c>
      <c r="O54" t="s">
        <v>891</v>
      </c>
      <c r="P54" t="s">
        <v>892</v>
      </c>
      <c r="Q54" t="s">
        <v>893</v>
      </c>
      <c r="R54" t="s">
        <v>917</v>
      </c>
      <c r="S54" t="s">
        <v>916</v>
      </c>
      <c r="T54" t="s">
        <v>894</v>
      </c>
      <c r="U54" t="s">
        <v>225</v>
      </c>
      <c r="V54" t="s">
        <v>895</v>
      </c>
    </row>
    <row r="55" spans="1:27" customFormat="1" ht="28.8" x14ac:dyDescent="0.3">
      <c r="A55" s="3" t="str">
        <f t="shared" si="0"/>
        <v>MCQ_ITNIC_CALC_DISALLOW_005</v>
      </c>
      <c r="B55" t="s">
        <v>21</v>
      </c>
      <c r="C55" t="s">
        <v>40</v>
      </c>
      <c r="D55" t="s">
        <v>868</v>
      </c>
      <c r="E55" t="s">
        <v>18</v>
      </c>
      <c r="F55">
        <v>3</v>
      </c>
      <c r="G55" t="s">
        <v>16</v>
      </c>
      <c r="H55" t="s">
        <v>17</v>
      </c>
      <c r="I55" t="s">
        <v>896</v>
      </c>
      <c r="J55" t="s">
        <v>870</v>
      </c>
      <c r="K55">
        <v>1</v>
      </c>
      <c r="L55" t="s">
        <v>871</v>
      </c>
      <c r="M55" s="3" t="str">
        <f>IF(B55="","","MCQ"&amp;"_"&amp;IFERROR(VLOOKUP(B55,LOOKUPS!$K$2:$L$10,2,FALSE),"UNK")&amp;"_"&amp;IFERROR(VLOOKUP(C55,LOOKUPS!$N$2:$O$10,2,FALSE),"UNK")&amp;"_"&amp;UPPER(L55))</f>
        <v>MCQ_ITNIC_CALC_DISALLOW</v>
      </c>
      <c r="N55" s="3">
        <f>IF(M55="","",COUNTIF($M$2:M55,M55))</f>
        <v>5</v>
      </c>
      <c r="O55" t="s">
        <v>918</v>
      </c>
      <c r="P55" s="4" t="s">
        <v>898</v>
      </c>
      <c r="Q55" s="5" t="s">
        <v>897</v>
      </c>
      <c r="R55" t="s">
        <v>919</v>
      </c>
      <c r="S55" t="s">
        <v>899</v>
      </c>
      <c r="T55" t="s">
        <v>900</v>
      </c>
      <c r="U55" t="s">
        <v>131</v>
      </c>
      <c r="V55" t="s">
        <v>920</v>
      </c>
    </row>
    <row r="56" spans="1:27" customFormat="1" ht="28.8" x14ac:dyDescent="0.3">
      <c r="A56" s="3" t="str">
        <f t="shared" si="0"/>
        <v>MCQ_ITNIC_CALC_DISALLOW_006</v>
      </c>
      <c r="B56" t="s">
        <v>21</v>
      </c>
      <c r="C56" t="s">
        <v>40</v>
      </c>
      <c r="D56" t="s">
        <v>868</v>
      </c>
      <c r="E56" t="s">
        <v>18</v>
      </c>
      <c r="F56">
        <v>3</v>
      </c>
      <c r="G56" t="s">
        <v>16</v>
      </c>
      <c r="H56" t="s">
        <v>17</v>
      </c>
      <c r="I56" t="s">
        <v>901</v>
      </c>
      <c r="J56" t="s">
        <v>870</v>
      </c>
      <c r="K56">
        <v>1</v>
      </c>
      <c r="L56" t="s">
        <v>871</v>
      </c>
      <c r="M56" s="3" t="str">
        <f>IF(B56="","","MCQ"&amp;"_"&amp;IFERROR(VLOOKUP(B56,LOOKUPS!$K$2:$L$10,2,FALSE),"UNK")&amp;"_"&amp;IFERROR(VLOOKUP(C56,LOOKUPS!$N$2:$O$10,2,FALSE),"UNK")&amp;"_"&amp;UPPER(L56))</f>
        <v>MCQ_ITNIC_CALC_DISALLOW</v>
      </c>
      <c r="N56" s="3">
        <f>IF(M56="","",COUNTIF($M$2:M56,M56))</f>
        <v>6</v>
      </c>
      <c r="O56" t="s">
        <v>902</v>
      </c>
      <c r="P56" t="s">
        <v>903</v>
      </c>
      <c r="Q56" t="s">
        <v>904</v>
      </c>
      <c r="R56" t="s">
        <v>905</v>
      </c>
      <c r="S56" t="s">
        <v>906</v>
      </c>
      <c r="T56" t="s">
        <v>921</v>
      </c>
      <c r="U56" t="s">
        <v>225</v>
      </c>
      <c r="V56" t="s">
        <v>907</v>
      </c>
    </row>
    <row r="57" spans="1:27" customFormat="1" ht="28.8" x14ac:dyDescent="0.3">
      <c r="A57" s="3" t="str">
        <f t="shared" si="0"/>
        <v>MCQ_ITNIC_CALC_DISALLOW_007</v>
      </c>
      <c r="B57" t="s">
        <v>21</v>
      </c>
      <c r="C57" t="s">
        <v>40</v>
      </c>
      <c r="D57" t="s">
        <v>868</v>
      </c>
      <c r="E57" t="s">
        <v>18</v>
      </c>
      <c r="F57">
        <v>3</v>
      </c>
      <c r="G57" t="s">
        <v>16</v>
      </c>
      <c r="H57" t="s">
        <v>17</v>
      </c>
      <c r="I57" t="s">
        <v>908</v>
      </c>
      <c r="J57" t="s">
        <v>870</v>
      </c>
      <c r="K57">
        <v>1</v>
      </c>
      <c r="L57" t="s">
        <v>871</v>
      </c>
      <c r="M57" s="3" t="str">
        <f>IF(B57="","","MCQ"&amp;"_"&amp;IFERROR(VLOOKUP(B57,LOOKUPS!$K$2:$L$10,2,FALSE),"UNK")&amp;"_"&amp;IFERROR(VLOOKUP(C57,LOOKUPS!$N$2:$O$10,2,FALSE),"UNK")&amp;"_"&amp;UPPER(L57))</f>
        <v>MCQ_ITNIC_CALC_DISALLOW</v>
      </c>
      <c r="N57" s="3">
        <f>IF(M57="","",COUNTIF($M$2:M57,M57))</f>
        <v>7</v>
      </c>
      <c r="O57" t="s">
        <v>925</v>
      </c>
      <c r="P57" t="s">
        <v>922</v>
      </c>
      <c r="Q57" s="4">
        <v>12570</v>
      </c>
      <c r="R57" s="5" t="s">
        <v>924</v>
      </c>
      <c r="S57" s="4" t="s">
        <v>923</v>
      </c>
      <c r="T57" t="s">
        <v>926</v>
      </c>
      <c r="U57" t="s">
        <v>226</v>
      </c>
      <c r="V57" t="s">
        <v>927</v>
      </c>
    </row>
    <row r="58" spans="1:27" customFormat="1" ht="28.8" x14ac:dyDescent="0.3">
      <c r="A58" s="3" t="str">
        <f t="shared" si="0"/>
        <v>MCQ_ITNIC_CALC_DISALLOW_008</v>
      </c>
      <c r="B58" t="s">
        <v>21</v>
      </c>
      <c r="C58" t="s">
        <v>40</v>
      </c>
      <c r="D58" t="s">
        <v>868</v>
      </c>
      <c r="E58" t="s">
        <v>18</v>
      </c>
      <c r="F58">
        <v>3</v>
      </c>
      <c r="G58" t="s">
        <v>16</v>
      </c>
      <c r="H58" t="s">
        <v>17</v>
      </c>
      <c r="I58" t="s">
        <v>909</v>
      </c>
      <c r="J58" t="s">
        <v>870</v>
      </c>
      <c r="K58">
        <v>1</v>
      </c>
      <c r="L58" t="s">
        <v>871</v>
      </c>
      <c r="M58" s="3" t="str">
        <f>IF(B58="","","MCQ"&amp;"_"&amp;IFERROR(VLOOKUP(B58,LOOKUPS!$K$2:$L$10,2,FALSE),"UNK")&amp;"_"&amp;IFERROR(VLOOKUP(C58,LOOKUPS!$N$2:$O$10,2,FALSE),"UNK")&amp;"_"&amp;UPPER(L58))</f>
        <v>MCQ_ITNIC_CALC_DISALLOW</v>
      </c>
      <c r="N58" s="3">
        <f>IF(M58="","",COUNTIF($M$2:M58,M58))</f>
        <v>8</v>
      </c>
      <c r="O58" t="s">
        <v>928</v>
      </c>
      <c r="P58" t="s">
        <v>929</v>
      </c>
      <c r="Q58" t="s">
        <v>930</v>
      </c>
      <c r="R58" t="s">
        <v>931</v>
      </c>
      <c r="S58" t="s">
        <v>934</v>
      </c>
      <c r="T58" t="s">
        <v>933</v>
      </c>
      <c r="U58" t="s">
        <v>223</v>
      </c>
      <c r="V58" t="s">
        <v>932</v>
      </c>
    </row>
    <row r="59" spans="1:27" customFormat="1" ht="28.8" x14ac:dyDescent="0.3">
      <c r="A59" s="3" t="str">
        <f t="shared" si="0"/>
        <v>MCQ_ITNIC_CALC_DISALLOW_009</v>
      </c>
      <c r="B59" t="s">
        <v>21</v>
      </c>
      <c r="C59" t="s">
        <v>40</v>
      </c>
      <c r="D59" t="s">
        <v>868</v>
      </c>
      <c r="E59" t="s">
        <v>18</v>
      </c>
      <c r="F59">
        <v>3</v>
      </c>
      <c r="G59" t="s">
        <v>16</v>
      </c>
      <c r="H59" t="s">
        <v>17</v>
      </c>
      <c r="I59" t="s">
        <v>910</v>
      </c>
      <c r="J59" t="s">
        <v>870</v>
      </c>
      <c r="K59">
        <v>1</v>
      </c>
      <c r="L59" t="s">
        <v>871</v>
      </c>
      <c r="M59" s="3" t="str">
        <f>IF(B59="","","MCQ"&amp;"_"&amp;IFERROR(VLOOKUP(B59,LOOKUPS!$K$2:$L$10,2,FALSE),"UNK")&amp;"_"&amp;IFERROR(VLOOKUP(C59,LOOKUPS!$N$2:$O$10,2,FALSE),"UNK")&amp;"_"&amp;UPPER(L59))</f>
        <v>MCQ_ITNIC_CALC_DISALLOW</v>
      </c>
      <c r="N59" s="3">
        <f>IF(M59="","",COUNTIF($M$2:M59,M59))</f>
        <v>9</v>
      </c>
      <c r="O59" t="s">
        <v>935</v>
      </c>
      <c r="P59" t="s">
        <v>937</v>
      </c>
      <c r="Q59" t="s">
        <v>938</v>
      </c>
      <c r="R59" t="s">
        <v>939</v>
      </c>
      <c r="S59" t="s">
        <v>940</v>
      </c>
      <c r="T59" t="s">
        <v>936</v>
      </c>
      <c r="U59" t="s">
        <v>224</v>
      </c>
      <c r="V59" t="s">
        <v>941</v>
      </c>
    </row>
    <row r="60" spans="1:27" ht="25.2" customHeight="1" x14ac:dyDescent="0.3">
      <c r="A60" s="3" t="str">
        <f t="shared" si="0"/>
        <v>MCQ_ITNIC_DEF_BADGES_001</v>
      </c>
      <c r="B60" s="6" t="s">
        <v>21</v>
      </c>
      <c r="C60" s="6" t="s">
        <v>15</v>
      </c>
      <c r="D60" s="6" t="s">
        <v>970</v>
      </c>
      <c r="E60" s="6" t="s">
        <v>18</v>
      </c>
      <c r="F60" s="6">
        <v>3</v>
      </c>
      <c r="G60" s="6" t="s">
        <v>16</v>
      </c>
      <c r="H60" s="6" t="s">
        <v>17</v>
      </c>
      <c r="I60" s="6" t="s">
        <v>971</v>
      </c>
      <c r="J60" s="6" t="s">
        <v>870</v>
      </c>
      <c r="K60" s="6">
        <v>1</v>
      </c>
      <c r="L60" s="6" t="s">
        <v>972</v>
      </c>
      <c r="M60" s="3" t="str">
        <f>IF(B60="","","MCQ"&amp;"_"&amp;IFERROR(VLOOKUP(B60,LOOKUPS!$K$2:$L$10,2,FALSE),"UNK")&amp;"_"&amp;IFERROR(VLOOKUP(C60,LOOKUPS!$N$2:$O$10,2,FALSE),"UNK")&amp;"_"&amp;UPPER(L60))</f>
        <v>MCQ_ITNIC_DEF_BADGES</v>
      </c>
      <c r="N60" s="3">
        <f>IF(M60="","",COUNTIF($M$2:M60,M60))</f>
        <v>1</v>
      </c>
      <c r="O60" s="6" t="s">
        <v>973</v>
      </c>
      <c r="P60" s="6" t="s">
        <v>974</v>
      </c>
      <c r="Q60" s="10" t="s">
        <v>975</v>
      </c>
      <c r="R60" s="10" t="s">
        <v>976</v>
      </c>
      <c r="S60" s="6" t="s">
        <v>977</v>
      </c>
      <c r="T60" s="6" t="s">
        <v>978</v>
      </c>
      <c r="U60" s="11" t="s">
        <v>225</v>
      </c>
      <c r="V60" s="6" t="s">
        <v>979</v>
      </c>
      <c r="X60" s="10"/>
      <c r="AA60" s="11"/>
    </row>
    <row r="61" spans="1:27" ht="25.2" customHeight="1" x14ac:dyDescent="0.3">
      <c r="A61" s="3" t="str">
        <f t="shared" si="0"/>
        <v>MCQ_ITNIC_DEF_BADGES_002</v>
      </c>
      <c r="B61" s="6" t="s">
        <v>21</v>
      </c>
      <c r="C61" s="6" t="s">
        <v>15</v>
      </c>
      <c r="D61" s="6" t="s">
        <v>970</v>
      </c>
      <c r="E61" s="6" t="s">
        <v>18</v>
      </c>
      <c r="F61" s="6">
        <v>3</v>
      </c>
      <c r="G61" s="6" t="s">
        <v>16</v>
      </c>
      <c r="H61" s="6" t="s">
        <v>17</v>
      </c>
      <c r="I61" s="6" t="s">
        <v>980</v>
      </c>
      <c r="J61" s="6" t="s">
        <v>870</v>
      </c>
      <c r="K61" s="6">
        <v>1</v>
      </c>
      <c r="L61" s="6" t="s">
        <v>972</v>
      </c>
      <c r="M61" s="3" t="str">
        <f>IF(B61="","","MCQ"&amp;"_"&amp;IFERROR(VLOOKUP(B61,LOOKUPS!$K$2:$L$10,2,FALSE),"UNK")&amp;"_"&amp;IFERROR(VLOOKUP(C61,LOOKUPS!$N$2:$O$10,2,FALSE),"UNK")&amp;"_"&amp;UPPER(L61))</f>
        <v>MCQ_ITNIC_DEF_BADGES</v>
      </c>
      <c r="N61" s="3">
        <f>IF(M61="","",COUNTIF($M$2:M61,M61))</f>
        <v>2</v>
      </c>
      <c r="O61" s="6" t="s">
        <v>981</v>
      </c>
      <c r="P61" s="6" t="s">
        <v>982</v>
      </c>
      <c r="Q61" s="11" t="s">
        <v>976</v>
      </c>
      <c r="R61" s="6" t="s">
        <v>978</v>
      </c>
      <c r="S61" s="6" t="s">
        <v>983</v>
      </c>
      <c r="T61" s="6" t="s">
        <v>975</v>
      </c>
      <c r="U61" s="6" t="s">
        <v>223</v>
      </c>
      <c r="V61" s="6" t="s">
        <v>984</v>
      </c>
    </row>
    <row r="62" spans="1:27" ht="25.2" customHeight="1" x14ac:dyDescent="0.3">
      <c r="A62" s="3" t="str">
        <f t="shared" si="0"/>
        <v>MCQ_ITNIC_DEF_BADGES_003</v>
      </c>
      <c r="B62" s="6" t="s">
        <v>21</v>
      </c>
      <c r="C62" s="6" t="s">
        <v>15</v>
      </c>
      <c r="D62" s="6" t="s">
        <v>970</v>
      </c>
      <c r="E62" s="6" t="s">
        <v>18</v>
      </c>
      <c r="F62" s="6">
        <v>3</v>
      </c>
      <c r="G62" s="6" t="s">
        <v>16</v>
      </c>
      <c r="H62" s="6" t="s">
        <v>17</v>
      </c>
      <c r="I62" s="6" t="s">
        <v>989</v>
      </c>
      <c r="J62" s="6" t="s">
        <v>870</v>
      </c>
      <c r="K62" s="6">
        <v>1</v>
      </c>
      <c r="L62" s="6" t="s">
        <v>972</v>
      </c>
      <c r="M62" s="3" t="str">
        <f>IF(B62="","","MCQ"&amp;"_"&amp;IFERROR(VLOOKUP(B62,LOOKUPS!$K$2:$L$10,2,FALSE),"UNK")&amp;"_"&amp;IFERROR(VLOOKUP(C62,LOOKUPS!$N$2:$O$10,2,FALSE),"UNK")&amp;"_"&amp;UPPER(L62))</f>
        <v>MCQ_ITNIC_DEF_BADGES</v>
      </c>
      <c r="N62" s="3">
        <f>IF(M62="","",COUNTIF($M$2:M62,M62))</f>
        <v>3</v>
      </c>
      <c r="O62" s="6" t="s">
        <v>990</v>
      </c>
      <c r="P62" s="6" t="s">
        <v>991</v>
      </c>
      <c r="Q62" s="6" t="s">
        <v>975</v>
      </c>
      <c r="R62" s="6" t="s">
        <v>987</v>
      </c>
      <c r="S62" s="6" t="s">
        <v>976</v>
      </c>
      <c r="T62" s="6" t="s">
        <v>977</v>
      </c>
      <c r="U62" s="6" t="s">
        <v>131</v>
      </c>
      <c r="V62" s="6" t="s">
        <v>992</v>
      </c>
    </row>
    <row r="63" spans="1:27" ht="25.2" customHeight="1" x14ac:dyDescent="0.3">
      <c r="A63" s="3" t="str">
        <f t="shared" si="0"/>
        <v>MCQ_ITNIC_DEF_BADGES_004</v>
      </c>
      <c r="B63" s="6" t="s">
        <v>21</v>
      </c>
      <c r="C63" s="6" t="s">
        <v>15</v>
      </c>
      <c r="D63" s="6" t="s">
        <v>970</v>
      </c>
      <c r="E63" s="6" t="s">
        <v>18</v>
      </c>
      <c r="F63" s="6">
        <v>3</v>
      </c>
      <c r="G63" s="6" t="s">
        <v>16</v>
      </c>
      <c r="H63" s="6" t="s">
        <v>17</v>
      </c>
      <c r="I63" s="6" t="s">
        <v>997</v>
      </c>
      <c r="J63" s="6" t="s">
        <v>870</v>
      </c>
      <c r="K63" s="6">
        <v>1</v>
      </c>
      <c r="L63" s="6" t="s">
        <v>972</v>
      </c>
      <c r="M63" s="3" t="str">
        <f>IF(B63="","","MCQ"&amp;"_"&amp;IFERROR(VLOOKUP(B63,LOOKUPS!$K$2:$L$10,2,FALSE),"UNK")&amp;"_"&amp;IFERROR(VLOOKUP(C63,LOOKUPS!$N$2:$O$10,2,FALSE),"UNK")&amp;"_"&amp;UPPER(L63))</f>
        <v>MCQ_ITNIC_DEF_BADGES</v>
      </c>
      <c r="N63" s="3">
        <f>IF(M63="","",COUNTIF($M$2:M63,M63))</f>
        <v>4</v>
      </c>
      <c r="O63" s="6" t="s">
        <v>998</v>
      </c>
      <c r="P63" s="6" t="s">
        <v>976</v>
      </c>
      <c r="Q63" s="10" t="s">
        <v>975</v>
      </c>
      <c r="R63" s="11" t="s">
        <v>977</v>
      </c>
      <c r="S63" s="10" t="s">
        <v>987</v>
      </c>
      <c r="T63" s="6" t="s">
        <v>982</v>
      </c>
      <c r="U63" s="6" t="s">
        <v>223</v>
      </c>
      <c r="V63" s="6" t="s">
        <v>999</v>
      </c>
    </row>
    <row r="64" spans="1:27" ht="25.2" customHeight="1" x14ac:dyDescent="0.3">
      <c r="A64" s="3" t="str">
        <f t="shared" si="0"/>
        <v>MCQ_ITNIC_DEF_BADGES_005</v>
      </c>
      <c r="B64" s="6" t="s">
        <v>21</v>
      </c>
      <c r="C64" s="6" t="s">
        <v>15</v>
      </c>
      <c r="D64" s="6" t="s">
        <v>970</v>
      </c>
      <c r="E64" s="6" t="s">
        <v>18</v>
      </c>
      <c r="F64" s="6">
        <v>3</v>
      </c>
      <c r="G64" s="6" t="s">
        <v>16</v>
      </c>
      <c r="H64" s="6" t="s">
        <v>17</v>
      </c>
      <c r="I64" s="6" t="s">
        <v>1000</v>
      </c>
      <c r="J64" s="6" t="s">
        <v>870</v>
      </c>
      <c r="K64" s="6">
        <v>1</v>
      </c>
      <c r="L64" s="6" t="s">
        <v>972</v>
      </c>
      <c r="M64" s="3" t="str">
        <f>IF(B64="","","MCQ"&amp;"_"&amp;IFERROR(VLOOKUP(B64,LOOKUPS!$K$2:$L$10,2,FALSE),"UNK")&amp;"_"&amp;IFERROR(VLOOKUP(C64,LOOKUPS!$N$2:$O$10,2,FALSE),"UNK")&amp;"_"&amp;UPPER(L64))</f>
        <v>MCQ_ITNIC_DEF_BADGES</v>
      </c>
      <c r="N64" s="3">
        <f>IF(M64="","",COUNTIF($M$2:M64,M64))</f>
        <v>5</v>
      </c>
      <c r="O64" s="6" t="s">
        <v>1001</v>
      </c>
      <c r="P64" s="6" t="s">
        <v>976</v>
      </c>
      <c r="Q64" s="6" t="s">
        <v>978</v>
      </c>
      <c r="R64" s="6" t="s">
        <v>987</v>
      </c>
      <c r="S64" s="6" t="s">
        <v>983</v>
      </c>
      <c r="T64" s="6" t="s">
        <v>977</v>
      </c>
      <c r="U64" s="6" t="s">
        <v>131</v>
      </c>
      <c r="V64" s="6" t="s">
        <v>1002</v>
      </c>
    </row>
    <row r="65" spans="1:22" ht="25.2" customHeight="1" x14ac:dyDescent="0.3">
      <c r="A65" s="3" t="str">
        <f t="shared" si="0"/>
        <v>MCQ_ITNIC_DEF_BADGES_006</v>
      </c>
      <c r="B65" s="6" t="s">
        <v>21</v>
      </c>
      <c r="C65" s="6" t="s">
        <v>15</v>
      </c>
      <c r="D65" s="6" t="s">
        <v>970</v>
      </c>
      <c r="E65" s="6" t="s">
        <v>18</v>
      </c>
      <c r="F65" s="6">
        <v>3</v>
      </c>
      <c r="G65" s="6" t="s">
        <v>16</v>
      </c>
      <c r="H65" s="6" t="s">
        <v>17</v>
      </c>
      <c r="I65" s="6" t="s">
        <v>1003</v>
      </c>
      <c r="J65" s="6" t="s">
        <v>870</v>
      </c>
      <c r="K65" s="6">
        <v>1</v>
      </c>
      <c r="L65" s="6" t="s">
        <v>972</v>
      </c>
      <c r="M65" s="3" t="str">
        <f>IF(B65="","","MCQ"&amp;"_"&amp;IFERROR(VLOOKUP(B65,LOOKUPS!$K$2:$L$10,2,FALSE),"UNK")&amp;"_"&amp;IFERROR(VLOOKUP(C65,LOOKUPS!$N$2:$O$10,2,FALSE),"UNK")&amp;"_"&amp;UPPER(L65))</f>
        <v>MCQ_ITNIC_DEF_BADGES</v>
      </c>
      <c r="N65" s="3">
        <f>IF(M65="","",COUNTIF($M$2:M65,M65))</f>
        <v>6</v>
      </c>
      <c r="O65" s="6" t="s">
        <v>1004</v>
      </c>
      <c r="P65" s="6" t="s">
        <v>1005</v>
      </c>
      <c r="Q65" s="6" t="s">
        <v>1006</v>
      </c>
      <c r="R65" s="6" t="s">
        <v>1008</v>
      </c>
      <c r="S65" s="6" t="s">
        <v>1007</v>
      </c>
      <c r="T65" s="6" t="s">
        <v>1009</v>
      </c>
      <c r="U65" s="6" t="s">
        <v>226</v>
      </c>
      <c r="V65" s="6" t="s">
        <v>1010</v>
      </c>
    </row>
    <row r="66" spans="1:22" ht="25.2" customHeight="1" x14ac:dyDescent="0.3">
      <c r="A66" s="3" t="str">
        <f t="shared" si="0"/>
        <v>MCQ_ITNIC_DEF_BADGES_007</v>
      </c>
      <c r="B66" s="6" t="s">
        <v>21</v>
      </c>
      <c r="C66" s="6" t="s">
        <v>15</v>
      </c>
      <c r="D66" s="6" t="s">
        <v>970</v>
      </c>
      <c r="E66" s="6" t="s">
        <v>18</v>
      </c>
      <c r="F66" s="6">
        <v>3</v>
      </c>
      <c r="G66" s="6" t="s">
        <v>16</v>
      </c>
      <c r="H66" s="6" t="s">
        <v>17</v>
      </c>
      <c r="I66" s="6" t="s">
        <v>985</v>
      </c>
      <c r="J66" s="6" t="s">
        <v>870</v>
      </c>
      <c r="K66" s="6">
        <v>1</v>
      </c>
      <c r="L66" s="6" t="s">
        <v>972</v>
      </c>
      <c r="M66" s="3" t="str">
        <f>IF(B66="","","MCQ"&amp;"_"&amp;IFERROR(VLOOKUP(B66,LOOKUPS!$K$2:$L$10,2,FALSE),"UNK")&amp;"_"&amp;IFERROR(VLOOKUP(C66,LOOKUPS!$N$2:$O$10,2,FALSE),"UNK")&amp;"_"&amp;UPPER(L66))</f>
        <v>MCQ_ITNIC_DEF_BADGES</v>
      </c>
      <c r="N66" s="3">
        <f>IF(M66="","",COUNTIF($M$2:M66,M66))</f>
        <v>7</v>
      </c>
      <c r="O66" s="6" t="s">
        <v>986</v>
      </c>
      <c r="P66" s="6" t="s">
        <v>987</v>
      </c>
      <c r="Q66" s="11" t="s">
        <v>982</v>
      </c>
      <c r="R66" s="6" t="s">
        <v>976</v>
      </c>
      <c r="S66" s="6" t="s">
        <v>977</v>
      </c>
      <c r="T66" s="6" t="s">
        <v>978</v>
      </c>
      <c r="U66" s="6" t="s">
        <v>226</v>
      </c>
      <c r="V66" s="6" t="s">
        <v>988</v>
      </c>
    </row>
    <row r="67" spans="1:22" ht="25.2" customHeight="1" x14ac:dyDescent="0.3">
      <c r="A67" s="3" t="str">
        <f t="shared" ref="A67:A123" si="1">IF(M67="","",M67&amp;"_"&amp;TEXT(N67,"000"))</f>
        <v>MCQ_ITNIC_DEF_BADGES_008</v>
      </c>
      <c r="B67" s="6" t="s">
        <v>21</v>
      </c>
      <c r="C67" s="6" t="s">
        <v>15</v>
      </c>
      <c r="D67" s="6" t="s">
        <v>970</v>
      </c>
      <c r="E67" s="6" t="s">
        <v>18</v>
      </c>
      <c r="F67" s="6">
        <v>3</v>
      </c>
      <c r="G67" s="6" t="s">
        <v>16</v>
      </c>
      <c r="H67" s="6" t="s">
        <v>17</v>
      </c>
      <c r="I67" s="6" t="s">
        <v>993</v>
      </c>
      <c r="J67" s="6" t="s">
        <v>870</v>
      </c>
      <c r="K67" s="6">
        <v>1</v>
      </c>
      <c r="L67" s="6" t="s">
        <v>972</v>
      </c>
      <c r="M67" s="3" t="str">
        <f>IF(B67="","","MCQ"&amp;"_"&amp;IFERROR(VLOOKUP(B67,LOOKUPS!$K$2:$L$10,2,FALSE),"UNK")&amp;"_"&amp;IFERROR(VLOOKUP(C67,LOOKUPS!$N$2:$O$10,2,FALSE),"UNK")&amp;"_"&amp;UPPER(L67))</f>
        <v>MCQ_ITNIC_DEF_BADGES</v>
      </c>
      <c r="N67" s="3">
        <f>IF(M67="","",COUNTIF($M$2:M67,M67))</f>
        <v>8</v>
      </c>
      <c r="O67" s="6" t="s">
        <v>994</v>
      </c>
      <c r="P67" s="6" t="s">
        <v>976</v>
      </c>
      <c r="Q67" s="11" t="s">
        <v>978</v>
      </c>
      <c r="R67" s="6" t="s">
        <v>982</v>
      </c>
      <c r="S67" s="6" t="s">
        <v>995</v>
      </c>
      <c r="T67" s="11" t="s">
        <v>987</v>
      </c>
      <c r="U67" s="6" t="s">
        <v>224</v>
      </c>
      <c r="V67" s="6" t="s">
        <v>996</v>
      </c>
    </row>
    <row r="68" spans="1:22" customFormat="1" ht="28.8" x14ac:dyDescent="0.3">
      <c r="A68" s="3" t="str">
        <f t="shared" si="1"/>
        <v>MCQ_FR_FILE_TAXDEAD_001</v>
      </c>
      <c r="B68" t="s">
        <v>1304</v>
      </c>
      <c r="C68" t="s">
        <v>44</v>
      </c>
      <c r="D68" t="s">
        <v>1200</v>
      </c>
      <c r="E68" t="s">
        <v>18</v>
      </c>
      <c r="F68">
        <v>3</v>
      </c>
      <c r="G68" t="s">
        <v>16</v>
      </c>
      <c r="H68" t="s">
        <v>17</v>
      </c>
      <c r="I68" t="s">
        <v>1201</v>
      </c>
      <c r="J68" t="s">
        <v>1202</v>
      </c>
      <c r="K68">
        <v>1</v>
      </c>
      <c r="L68" t="s">
        <v>1303</v>
      </c>
      <c r="M68" s="3" t="str">
        <f>IF(B68="","","MCQ"&amp;"_"&amp;IFERROR(VLOOKUP(B68,LOOKUPS!$K$2:$L$10,2,FALSE),"UNK")&amp;"_"&amp;IFERROR(VLOOKUP(C68,LOOKUPS!$N$2:$O$10,2,FALSE),"UNK")&amp;"_"&amp;UPPER(L68))</f>
        <v>MCQ_FR_FILE_TAXDEAD</v>
      </c>
      <c r="N68" s="3">
        <f>IF(M68="","",COUNTIF($M$2:M68,M68))</f>
        <v>1</v>
      </c>
      <c r="O68" t="s">
        <v>1203</v>
      </c>
      <c r="P68" t="s">
        <v>1204</v>
      </c>
      <c r="Q68" t="s">
        <v>1205</v>
      </c>
      <c r="R68" t="s">
        <v>1206</v>
      </c>
      <c r="S68" t="s">
        <v>1207</v>
      </c>
      <c r="T68" t="s">
        <v>1208</v>
      </c>
      <c r="U68" t="s">
        <v>131</v>
      </c>
      <c r="V68" t="s">
        <v>1204</v>
      </c>
    </row>
    <row r="69" spans="1:22" customFormat="1" ht="28.8" x14ac:dyDescent="0.3">
      <c r="A69" s="3" t="str">
        <f t="shared" si="1"/>
        <v>MCQ_FR_FILE_TAXDEAD_002</v>
      </c>
      <c r="B69" t="s">
        <v>1304</v>
      </c>
      <c r="C69" t="s">
        <v>44</v>
      </c>
      <c r="D69" t="s">
        <v>1200</v>
      </c>
      <c r="E69" t="s">
        <v>18</v>
      </c>
      <c r="F69">
        <v>3</v>
      </c>
      <c r="G69" t="s">
        <v>16</v>
      </c>
      <c r="H69" t="s">
        <v>17</v>
      </c>
      <c r="I69" t="s">
        <v>1201</v>
      </c>
      <c r="J69" t="s">
        <v>1202</v>
      </c>
      <c r="K69">
        <v>1</v>
      </c>
      <c r="L69" t="s">
        <v>1303</v>
      </c>
      <c r="M69" s="3" t="str">
        <f>IF(B69="","","MCQ"&amp;"_"&amp;IFERROR(VLOOKUP(B69,LOOKUPS!$K$2:$L$10,2,FALSE),"UNK")&amp;"_"&amp;IFERROR(VLOOKUP(C69,LOOKUPS!$N$2:$O$10,2,FALSE),"UNK")&amp;"_"&amp;UPPER(L69))</f>
        <v>MCQ_FR_FILE_TAXDEAD</v>
      </c>
      <c r="N69" s="3">
        <f>IF(M69="","",COUNTIF($M$2:M69,M69))</f>
        <v>2</v>
      </c>
      <c r="O69" t="s">
        <v>1209</v>
      </c>
      <c r="P69" t="s">
        <v>1206</v>
      </c>
      <c r="Q69" t="s">
        <v>1207</v>
      </c>
      <c r="R69" t="s">
        <v>1208</v>
      </c>
      <c r="S69" t="s">
        <v>1210</v>
      </c>
      <c r="T69" t="s">
        <v>1205</v>
      </c>
      <c r="U69" t="s">
        <v>224</v>
      </c>
      <c r="V69" t="s">
        <v>1205</v>
      </c>
    </row>
    <row r="70" spans="1:22" customFormat="1" ht="28.8" x14ac:dyDescent="0.3">
      <c r="A70" s="3" t="str">
        <f t="shared" si="1"/>
        <v>MCQ_FR_FILE_TAXDEAD_003</v>
      </c>
      <c r="B70" t="s">
        <v>1304</v>
      </c>
      <c r="C70" t="s">
        <v>44</v>
      </c>
      <c r="D70" t="s">
        <v>1200</v>
      </c>
      <c r="E70" t="s">
        <v>18</v>
      </c>
      <c r="F70">
        <v>3</v>
      </c>
      <c r="G70" t="s">
        <v>16</v>
      </c>
      <c r="H70" t="s">
        <v>17</v>
      </c>
      <c r="I70" t="s">
        <v>1201</v>
      </c>
      <c r="J70" t="s">
        <v>1202</v>
      </c>
      <c r="K70">
        <v>1</v>
      </c>
      <c r="L70" t="s">
        <v>1303</v>
      </c>
      <c r="M70" s="3" t="str">
        <f>IF(B70="","","MCQ"&amp;"_"&amp;IFERROR(VLOOKUP(B70,LOOKUPS!$K$2:$L$10,2,FALSE),"UNK")&amp;"_"&amp;IFERROR(VLOOKUP(C70,LOOKUPS!$N$2:$O$10,2,FALSE),"UNK")&amp;"_"&amp;UPPER(L70))</f>
        <v>MCQ_FR_FILE_TAXDEAD</v>
      </c>
      <c r="N70" s="3">
        <f>IF(M70="","",COUNTIF($M$2:M70,M70))</f>
        <v>3</v>
      </c>
      <c r="O70" t="s">
        <v>1211</v>
      </c>
      <c r="P70" t="s">
        <v>1208</v>
      </c>
      <c r="Q70" t="s">
        <v>1210</v>
      </c>
      <c r="R70" t="s">
        <v>1212</v>
      </c>
      <c r="S70" t="s">
        <v>1206</v>
      </c>
      <c r="T70" t="s">
        <v>1207</v>
      </c>
      <c r="U70" t="s">
        <v>226</v>
      </c>
      <c r="V70" t="s">
        <v>1206</v>
      </c>
    </row>
    <row r="71" spans="1:22" customFormat="1" ht="28.8" x14ac:dyDescent="0.3">
      <c r="A71" s="3" t="str">
        <f t="shared" si="1"/>
        <v>MCQ_FR_FILE_TAXDEAD_004</v>
      </c>
      <c r="B71" t="s">
        <v>1304</v>
      </c>
      <c r="C71" t="s">
        <v>44</v>
      </c>
      <c r="D71" t="s">
        <v>1200</v>
      </c>
      <c r="E71" t="s">
        <v>18</v>
      </c>
      <c r="F71">
        <v>3</v>
      </c>
      <c r="G71" t="s">
        <v>16</v>
      </c>
      <c r="H71" t="s">
        <v>17</v>
      </c>
      <c r="I71" t="s">
        <v>1201</v>
      </c>
      <c r="J71" t="s">
        <v>1202</v>
      </c>
      <c r="K71">
        <v>1</v>
      </c>
      <c r="L71" t="s">
        <v>1303</v>
      </c>
      <c r="M71" s="3" t="str">
        <f>IF(B71="","","MCQ"&amp;"_"&amp;IFERROR(VLOOKUP(B71,LOOKUPS!$K$2:$L$10,2,FALSE),"UNK")&amp;"_"&amp;IFERROR(VLOOKUP(C71,LOOKUPS!$N$2:$O$10,2,FALSE),"UNK")&amp;"_"&amp;UPPER(L71))</f>
        <v>MCQ_FR_FILE_TAXDEAD</v>
      </c>
      <c r="N71" s="3">
        <f>IF(M71="","",COUNTIF($M$2:M71,M71))</f>
        <v>4</v>
      </c>
      <c r="O71" t="s">
        <v>1213</v>
      </c>
      <c r="P71" t="s">
        <v>1212</v>
      </c>
      <c r="Q71" t="s">
        <v>1214</v>
      </c>
      <c r="R71" t="s">
        <v>1207</v>
      </c>
      <c r="S71" t="s">
        <v>1208</v>
      </c>
      <c r="T71" t="s">
        <v>1210</v>
      </c>
      <c r="U71" t="s">
        <v>223</v>
      </c>
      <c r="V71" t="s">
        <v>1207</v>
      </c>
    </row>
    <row r="72" spans="1:22" customFormat="1" ht="28.8" x14ac:dyDescent="0.3">
      <c r="A72" s="3" t="str">
        <f t="shared" si="1"/>
        <v>MCQ_FR_FILE_TAXDEAD_005</v>
      </c>
      <c r="B72" t="s">
        <v>1304</v>
      </c>
      <c r="C72" t="s">
        <v>44</v>
      </c>
      <c r="D72" t="s">
        <v>1200</v>
      </c>
      <c r="E72" t="s">
        <v>18</v>
      </c>
      <c r="F72">
        <v>3</v>
      </c>
      <c r="G72" t="s">
        <v>16</v>
      </c>
      <c r="H72" t="s">
        <v>17</v>
      </c>
      <c r="I72" t="s">
        <v>1201</v>
      </c>
      <c r="J72" t="s">
        <v>1202</v>
      </c>
      <c r="K72">
        <v>1</v>
      </c>
      <c r="L72" t="s">
        <v>1303</v>
      </c>
      <c r="M72" s="3" t="str">
        <f>IF(B72="","","MCQ"&amp;"_"&amp;IFERROR(VLOOKUP(B72,LOOKUPS!$K$2:$L$10,2,FALSE),"UNK")&amp;"_"&amp;IFERROR(VLOOKUP(C72,LOOKUPS!$N$2:$O$10,2,FALSE),"UNK")&amp;"_"&amp;UPPER(L72))</f>
        <v>MCQ_FR_FILE_TAXDEAD</v>
      </c>
      <c r="N72" s="3">
        <f>IF(M72="","",COUNTIF($M$2:M72,M72))</f>
        <v>5</v>
      </c>
      <c r="O72" t="s">
        <v>1215</v>
      </c>
      <c r="P72" t="s">
        <v>1216</v>
      </c>
      <c r="Q72" t="s">
        <v>1208</v>
      </c>
      <c r="R72" t="s">
        <v>1210</v>
      </c>
      <c r="S72" t="s">
        <v>1212</v>
      </c>
      <c r="T72" t="s">
        <v>1214</v>
      </c>
      <c r="U72" t="s">
        <v>225</v>
      </c>
      <c r="V72" t="s">
        <v>1208</v>
      </c>
    </row>
    <row r="73" spans="1:22" customFormat="1" ht="28.8" x14ac:dyDescent="0.3">
      <c r="A73" s="3" t="str">
        <f t="shared" si="1"/>
        <v>MCQ_FR_FILE_TAXDEAD_006</v>
      </c>
      <c r="B73" t="s">
        <v>1304</v>
      </c>
      <c r="C73" t="s">
        <v>44</v>
      </c>
      <c r="D73" t="s">
        <v>1200</v>
      </c>
      <c r="E73" t="s">
        <v>18</v>
      </c>
      <c r="F73">
        <v>3</v>
      </c>
      <c r="G73" t="s">
        <v>16</v>
      </c>
      <c r="H73" t="s">
        <v>17</v>
      </c>
      <c r="I73" t="s">
        <v>1201</v>
      </c>
      <c r="J73" t="s">
        <v>1202</v>
      </c>
      <c r="K73">
        <v>1</v>
      </c>
      <c r="L73" t="s">
        <v>1303</v>
      </c>
      <c r="M73" s="3" t="str">
        <f>IF(B73="","","MCQ"&amp;"_"&amp;IFERROR(VLOOKUP(B73,LOOKUPS!$K$2:$L$10,2,FALSE),"UNK")&amp;"_"&amp;IFERROR(VLOOKUP(C73,LOOKUPS!$N$2:$O$10,2,FALSE),"UNK")&amp;"_"&amp;UPPER(L73))</f>
        <v>MCQ_FR_FILE_TAXDEAD</v>
      </c>
      <c r="N73" s="3">
        <f>IF(M73="","",COUNTIF($M$2:M73,M73))</f>
        <v>6</v>
      </c>
      <c r="O73" t="s">
        <v>1217</v>
      </c>
      <c r="P73" t="s">
        <v>1210</v>
      </c>
      <c r="Q73" t="s">
        <v>1212</v>
      </c>
      <c r="R73" t="s">
        <v>1214</v>
      </c>
      <c r="S73" t="s">
        <v>1216</v>
      </c>
      <c r="T73" t="s">
        <v>1218</v>
      </c>
      <c r="U73" t="s">
        <v>131</v>
      </c>
      <c r="V73" t="s">
        <v>1210</v>
      </c>
    </row>
    <row r="74" spans="1:22" customFormat="1" ht="28.8" x14ac:dyDescent="0.3">
      <c r="A74" s="3" t="str">
        <f t="shared" si="1"/>
        <v>MCQ_FR_FILE_TAXDEAD_007</v>
      </c>
      <c r="B74" t="s">
        <v>1304</v>
      </c>
      <c r="C74" t="s">
        <v>44</v>
      </c>
      <c r="D74" t="s">
        <v>1200</v>
      </c>
      <c r="E74" t="s">
        <v>18</v>
      </c>
      <c r="F74">
        <v>3</v>
      </c>
      <c r="G74" t="s">
        <v>16</v>
      </c>
      <c r="H74" t="s">
        <v>17</v>
      </c>
      <c r="I74" t="s">
        <v>1201</v>
      </c>
      <c r="J74" t="s">
        <v>1202</v>
      </c>
      <c r="K74">
        <v>1</v>
      </c>
      <c r="L74" t="s">
        <v>1303</v>
      </c>
      <c r="M74" s="3" t="str">
        <f>IF(B74="","","MCQ"&amp;"_"&amp;IFERROR(VLOOKUP(B74,LOOKUPS!$K$2:$L$10,2,FALSE),"UNK")&amp;"_"&amp;IFERROR(VLOOKUP(C74,LOOKUPS!$N$2:$O$10,2,FALSE),"UNK")&amp;"_"&amp;UPPER(L74))</f>
        <v>MCQ_FR_FILE_TAXDEAD</v>
      </c>
      <c r="N74" s="3">
        <f>IF(M74="","",COUNTIF($M$2:M74,M74))</f>
        <v>7</v>
      </c>
      <c r="O74" t="s">
        <v>1219</v>
      </c>
      <c r="P74" t="s">
        <v>1214</v>
      </c>
      <c r="Q74" t="s">
        <v>1216</v>
      </c>
      <c r="R74" t="s">
        <v>1218</v>
      </c>
      <c r="S74" t="s">
        <v>1220</v>
      </c>
      <c r="T74" t="s">
        <v>1212</v>
      </c>
      <c r="U74" t="s">
        <v>224</v>
      </c>
      <c r="V74" t="s">
        <v>1212</v>
      </c>
    </row>
    <row r="75" spans="1:22" customFormat="1" ht="28.8" x14ac:dyDescent="0.3">
      <c r="A75" s="3" t="str">
        <f t="shared" si="1"/>
        <v>MCQ_FR_FILE_TAXDEAD_008</v>
      </c>
      <c r="B75" t="s">
        <v>1304</v>
      </c>
      <c r="C75" t="s">
        <v>44</v>
      </c>
      <c r="D75" t="s">
        <v>1200</v>
      </c>
      <c r="E75" t="s">
        <v>18</v>
      </c>
      <c r="F75">
        <v>3</v>
      </c>
      <c r="G75" t="s">
        <v>16</v>
      </c>
      <c r="H75" t="s">
        <v>17</v>
      </c>
      <c r="I75" t="s">
        <v>1201</v>
      </c>
      <c r="J75" t="s">
        <v>1202</v>
      </c>
      <c r="K75">
        <v>1</v>
      </c>
      <c r="L75" t="s">
        <v>1303</v>
      </c>
      <c r="M75" s="3" t="str">
        <f>IF(B75="","","MCQ"&amp;"_"&amp;IFERROR(VLOOKUP(B75,LOOKUPS!$K$2:$L$10,2,FALSE),"UNK")&amp;"_"&amp;IFERROR(VLOOKUP(C75,LOOKUPS!$N$2:$O$10,2,FALSE),"UNK")&amp;"_"&amp;UPPER(L75))</f>
        <v>MCQ_FR_FILE_TAXDEAD</v>
      </c>
      <c r="N75" s="3">
        <f>IF(M75="","",COUNTIF($M$2:M75,M75))</f>
        <v>8</v>
      </c>
      <c r="O75" t="s">
        <v>1221</v>
      </c>
      <c r="P75" t="s">
        <v>1218</v>
      </c>
      <c r="Q75" t="s">
        <v>1220</v>
      </c>
      <c r="R75" t="s">
        <v>1222</v>
      </c>
      <c r="S75" t="s">
        <v>1214</v>
      </c>
      <c r="T75" t="s">
        <v>1216</v>
      </c>
      <c r="U75" t="s">
        <v>226</v>
      </c>
      <c r="V75" t="s">
        <v>1214</v>
      </c>
    </row>
    <row r="76" spans="1:22" customFormat="1" ht="28.8" x14ac:dyDescent="0.3">
      <c r="A76" s="3" t="str">
        <f t="shared" si="1"/>
        <v>MCQ_FR_FILE_TAXDEAD_009</v>
      </c>
      <c r="B76" t="s">
        <v>1304</v>
      </c>
      <c r="C76" t="s">
        <v>44</v>
      </c>
      <c r="D76" t="s">
        <v>1200</v>
      </c>
      <c r="E76" t="s">
        <v>18</v>
      </c>
      <c r="F76">
        <v>3</v>
      </c>
      <c r="G76" t="s">
        <v>16</v>
      </c>
      <c r="H76" t="s">
        <v>17</v>
      </c>
      <c r="I76" t="s">
        <v>1201</v>
      </c>
      <c r="J76" t="s">
        <v>1202</v>
      </c>
      <c r="K76">
        <v>1</v>
      </c>
      <c r="L76" t="s">
        <v>1303</v>
      </c>
      <c r="M76" s="3" t="str">
        <f>IF(B76="","","MCQ"&amp;"_"&amp;IFERROR(VLOOKUP(B76,LOOKUPS!$K$2:$L$10,2,FALSE),"UNK")&amp;"_"&amp;IFERROR(VLOOKUP(C76,LOOKUPS!$N$2:$O$10,2,FALSE),"UNK")&amp;"_"&amp;UPPER(L76))</f>
        <v>MCQ_FR_FILE_TAXDEAD</v>
      </c>
      <c r="N76" s="3">
        <f>IF(M76="","",COUNTIF($M$2:M76,M76))</f>
        <v>9</v>
      </c>
      <c r="O76" t="s">
        <v>1223</v>
      </c>
      <c r="P76" t="s">
        <v>1222</v>
      </c>
      <c r="Q76" t="s">
        <v>1224</v>
      </c>
      <c r="R76" t="s">
        <v>1216</v>
      </c>
      <c r="S76" t="s">
        <v>1218</v>
      </c>
      <c r="T76" t="s">
        <v>1220</v>
      </c>
      <c r="U76" t="s">
        <v>223</v>
      </c>
      <c r="V76" t="s">
        <v>1216</v>
      </c>
    </row>
    <row r="77" spans="1:22" customFormat="1" x14ac:dyDescent="0.3">
      <c r="A77" s="3" t="str">
        <f t="shared" si="1"/>
        <v>MCQ_FR_FILE_TAXDEAD_010</v>
      </c>
      <c r="B77" t="s">
        <v>1304</v>
      </c>
      <c r="C77" t="s">
        <v>44</v>
      </c>
      <c r="D77" t="s">
        <v>1200</v>
      </c>
      <c r="E77" t="s">
        <v>18</v>
      </c>
      <c r="F77">
        <v>3</v>
      </c>
      <c r="G77" t="s">
        <v>16</v>
      </c>
      <c r="H77" t="s">
        <v>17</v>
      </c>
      <c r="I77" t="s">
        <v>1201</v>
      </c>
      <c r="J77" t="s">
        <v>1202</v>
      </c>
      <c r="K77">
        <v>1</v>
      </c>
      <c r="L77" t="s">
        <v>1303</v>
      </c>
      <c r="M77" s="3" t="str">
        <f>IF(B77="","","MCQ"&amp;"_"&amp;IFERROR(VLOOKUP(B77,LOOKUPS!$K$2:$L$10,2,FALSE),"UNK")&amp;"_"&amp;IFERROR(VLOOKUP(C77,LOOKUPS!$N$2:$O$10,2,FALSE),"UNK")&amp;"_"&amp;UPPER(L77))</f>
        <v>MCQ_FR_FILE_TAXDEAD</v>
      </c>
      <c r="N77" s="3">
        <f>IF(M77="","",COUNTIF($M$2:M77,M77))</f>
        <v>10</v>
      </c>
      <c r="O77" t="s">
        <v>1225</v>
      </c>
      <c r="P77" t="s">
        <v>1226</v>
      </c>
      <c r="Q77" t="s">
        <v>1218</v>
      </c>
      <c r="R77" t="s">
        <v>1220</v>
      </c>
      <c r="S77" t="s">
        <v>1222</v>
      </c>
      <c r="T77" t="s">
        <v>1224</v>
      </c>
      <c r="U77" t="s">
        <v>225</v>
      </c>
      <c r="V77" t="s">
        <v>1218</v>
      </c>
    </row>
    <row r="78" spans="1:22" customFormat="1" x14ac:dyDescent="0.3">
      <c r="A78" s="3" t="str">
        <f t="shared" si="1"/>
        <v>MCQ_FR_FILE_TAXDEAD_011</v>
      </c>
      <c r="B78" t="s">
        <v>1304</v>
      </c>
      <c r="C78" t="s">
        <v>44</v>
      </c>
      <c r="D78" t="s">
        <v>1200</v>
      </c>
      <c r="E78" t="s">
        <v>18</v>
      </c>
      <c r="F78">
        <v>3</v>
      </c>
      <c r="G78" t="s">
        <v>16</v>
      </c>
      <c r="H78" t="s">
        <v>17</v>
      </c>
      <c r="I78" t="s">
        <v>1201</v>
      </c>
      <c r="J78" t="s">
        <v>1202</v>
      </c>
      <c r="K78">
        <v>1</v>
      </c>
      <c r="L78" t="s">
        <v>1303</v>
      </c>
      <c r="M78" s="3" t="str">
        <f>IF(B78="","","MCQ"&amp;"_"&amp;IFERROR(VLOOKUP(B78,LOOKUPS!$K$2:$L$10,2,FALSE),"UNK")&amp;"_"&amp;IFERROR(VLOOKUP(C78,LOOKUPS!$N$2:$O$10,2,FALSE),"UNK")&amp;"_"&amp;UPPER(L78))</f>
        <v>MCQ_FR_FILE_TAXDEAD</v>
      </c>
      <c r="N78" s="3">
        <f>IF(M78="","",COUNTIF($M$2:M78,M78))</f>
        <v>11</v>
      </c>
      <c r="O78" t="s">
        <v>1227</v>
      </c>
      <c r="P78" t="s">
        <v>1220</v>
      </c>
      <c r="Q78" t="s">
        <v>1222</v>
      </c>
      <c r="R78" t="s">
        <v>1224</v>
      </c>
      <c r="S78" t="s">
        <v>1226</v>
      </c>
      <c r="T78" t="s">
        <v>1228</v>
      </c>
      <c r="U78" t="s">
        <v>131</v>
      </c>
      <c r="V78" t="s">
        <v>1220</v>
      </c>
    </row>
    <row r="79" spans="1:22" customFormat="1" x14ac:dyDescent="0.3">
      <c r="A79" s="3" t="str">
        <f t="shared" si="1"/>
        <v>MCQ_FR_FILE_TAXDEAD_012</v>
      </c>
      <c r="B79" t="s">
        <v>1304</v>
      </c>
      <c r="C79" t="s">
        <v>44</v>
      </c>
      <c r="D79" t="s">
        <v>1200</v>
      </c>
      <c r="E79" t="s">
        <v>18</v>
      </c>
      <c r="F79">
        <v>3</v>
      </c>
      <c r="G79" t="s">
        <v>16</v>
      </c>
      <c r="H79" t="s">
        <v>17</v>
      </c>
      <c r="I79" t="s">
        <v>1201</v>
      </c>
      <c r="J79" t="s">
        <v>1202</v>
      </c>
      <c r="K79">
        <v>1</v>
      </c>
      <c r="L79" t="s">
        <v>1303</v>
      </c>
      <c r="M79" s="3" t="str">
        <f>IF(B79="","","MCQ"&amp;"_"&amp;IFERROR(VLOOKUP(B79,LOOKUPS!$K$2:$L$10,2,FALSE),"UNK")&amp;"_"&amp;IFERROR(VLOOKUP(C79,LOOKUPS!$N$2:$O$10,2,FALSE),"UNK")&amp;"_"&amp;UPPER(L79))</f>
        <v>MCQ_FR_FILE_TAXDEAD</v>
      </c>
      <c r="N79" s="3">
        <f>IF(M79="","",COUNTIF($M$2:M79,M79))</f>
        <v>12</v>
      </c>
      <c r="O79" t="s">
        <v>1229</v>
      </c>
      <c r="P79" t="s">
        <v>1224</v>
      </c>
      <c r="Q79" t="s">
        <v>1226</v>
      </c>
      <c r="R79" t="s">
        <v>1228</v>
      </c>
      <c r="S79" t="s">
        <v>1230</v>
      </c>
      <c r="T79" t="s">
        <v>1222</v>
      </c>
      <c r="U79" t="s">
        <v>224</v>
      </c>
      <c r="V79" t="s">
        <v>1222</v>
      </c>
    </row>
    <row r="80" spans="1:22" customFormat="1" x14ac:dyDescent="0.3">
      <c r="A80" s="3" t="str">
        <f t="shared" si="1"/>
        <v>MCQ_FR_FILE_TAXDEAD_013</v>
      </c>
      <c r="B80" t="s">
        <v>1304</v>
      </c>
      <c r="C80" t="s">
        <v>44</v>
      </c>
      <c r="D80" t="s">
        <v>1200</v>
      </c>
      <c r="E80" t="s">
        <v>18</v>
      </c>
      <c r="F80">
        <v>3</v>
      </c>
      <c r="G80" t="s">
        <v>16</v>
      </c>
      <c r="H80" t="s">
        <v>17</v>
      </c>
      <c r="I80" t="s">
        <v>1201</v>
      </c>
      <c r="J80" t="s">
        <v>1202</v>
      </c>
      <c r="K80">
        <v>1</v>
      </c>
      <c r="L80" t="s">
        <v>1303</v>
      </c>
      <c r="M80" s="3" t="str">
        <f>IF(B80="","","MCQ"&amp;"_"&amp;IFERROR(VLOOKUP(B80,LOOKUPS!$K$2:$L$10,2,FALSE),"UNK")&amp;"_"&amp;IFERROR(VLOOKUP(C80,LOOKUPS!$N$2:$O$10,2,FALSE),"UNK")&amp;"_"&amp;UPPER(L80))</f>
        <v>MCQ_FR_FILE_TAXDEAD</v>
      </c>
      <c r="N80" s="3">
        <f>IF(M80="","",COUNTIF($M$2:M80,M80))</f>
        <v>13</v>
      </c>
      <c r="O80" t="s">
        <v>1231</v>
      </c>
      <c r="P80" t="s">
        <v>1228</v>
      </c>
      <c r="Q80" t="s">
        <v>1230</v>
      </c>
      <c r="R80" t="s">
        <v>1232</v>
      </c>
      <c r="S80" t="s">
        <v>1224</v>
      </c>
      <c r="T80" t="s">
        <v>1226</v>
      </c>
      <c r="U80" t="s">
        <v>226</v>
      </c>
      <c r="V80" t="s">
        <v>1224</v>
      </c>
    </row>
    <row r="81" spans="1:22" customFormat="1" x14ac:dyDescent="0.3">
      <c r="A81" s="3" t="str">
        <f t="shared" si="1"/>
        <v>MCQ_FR_FILE_TAXDEAD_014</v>
      </c>
      <c r="B81" t="s">
        <v>1304</v>
      </c>
      <c r="C81" t="s">
        <v>44</v>
      </c>
      <c r="D81" t="s">
        <v>1200</v>
      </c>
      <c r="E81" t="s">
        <v>18</v>
      </c>
      <c r="F81">
        <v>3</v>
      </c>
      <c r="G81" t="s">
        <v>16</v>
      </c>
      <c r="H81" t="s">
        <v>17</v>
      </c>
      <c r="I81" t="s">
        <v>1201</v>
      </c>
      <c r="J81" t="s">
        <v>1202</v>
      </c>
      <c r="K81">
        <v>1</v>
      </c>
      <c r="L81" t="s">
        <v>1303</v>
      </c>
      <c r="M81" s="3" t="str">
        <f>IF(B81="","","MCQ"&amp;"_"&amp;IFERROR(VLOOKUP(B81,LOOKUPS!$K$2:$L$10,2,FALSE),"UNK")&amp;"_"&amp;IFERROR(VLOOKUP(C81,LOOKUPS!$N$2:$O$10,2,FALSE),"UNK")&amp;"_"&amp;UPPER(L81))</f>
        <v>MCQ_FR_FILE_TAXDEAD</v>
      </c>
      <c r="N81" s="3">
        <f>IF(M81="","",COUNTIF($M$2:M81,M81))</f>
        <v>14</v>
      </c>
      <c r="O81" t="s">
        <v>1233</v>
      </c>
      <c r="P81" t="s">
        <v>1232</v>
      </c>
      <c r="Q81" t="s">
        <v>1234</v>
      </c>
      <c r="R81" t="s">
        <v>1226</v>
      </c>
      <c r="S81" t="s">
        <v>1228</v>
      </c>
      <c r="T81" t="s">
        <v>1230</v>
      </c>
      <c r="U81" t="s">
        <v>223</v>
      </c>
      <c r="V81" t="s">
        <v>1226</v>
      </c>
    </row>
    <row r="82" spans="1:22" customFormat="1" x14ac:dyDescent="0.3">
      <c r="A82" s="3" t="str">
        <f t="shared" si="1"/>
        <v>MCQ_FR_FILE_TAXDEAD_015</v>
      </c>
      <c r="B82" t="s">
        <v>1304</v>
      </c>
      <c r="C82" t="s">
        <v>44</v>
      </c>
      <c r="D82" t="s">
        <v>1200</v>
      </c>
      <c r="E82" t="s">
        <v>18</v>
      </c>
      <c r="F82">
        <v>3</v>
      </c>
      <c r="G82" t="s">
        <v>16</v>
      </c>
      <c r="H82" t="s">
        <v>17</v>
      </c>
      <c r="I82" t="s">
        <v>1201</v>
      </c>
      <c r="J82" t="s">
        <v>1202</v>
      </c>
      <c r="K82">
        <v>1</v>
      </c>
      <c r="L82" t="s">
        <v>1303</v>
      </c>
      <c r="M82" s="3" t="str">
        <f>IF(B82="","","MCQ"&amp;"_"&amp;IFERROR(VLOOKUP(B82,LOOKUPS!$K$2:$L$10,2,FALSE),"UNK")&amp;"_"&amp;IFERROR(VLOOKUP(C82,LOOKUPS!$N$2:$O$10,2,FALSE),"UNK")&amp;"_"&amp;UPPER(L82))</f>
        <v>MCQ_FR_FILE_TAXDEAD</v>
      </c>
      <c r="N82" s="3">
        <f>IF(M82="","",COUNTIF($M$2:M82,M82))</f>
        <v>15</v>
      </c>
      <c r="O82" t="s">
        <v>1235</v>
      </c>
      <c r="P82" t="s">
        <v>1236</v>
      </c>
      <c r="Q82" t="s">
        <v>1228</v>
      </c>
      <c r="R82" t="s">
        <v>1230</v>
      </c>
      <c r="S82" t="s">
        <v>1232</v>
      </c>
      <c r="T82" t="s">
        <v>1234</v>
      </c>
      <c r="U82" t="s">
        <v>225</v>
      </c>
      <c r="V82" t="s">
        <v>1228</v>
      </c>
    </row>
    <row r="83" spans="1:22" customFormat="1" x14ac:dyDescent="0.3">
      <c r="A83" s="3" t="str">
        <f t="shared" si="1"/>
        <v>MCQ_FR_FILE_TAXDEAD_016</v>
      </c>
      <c r="B83" t="s">
        <v>1304</v>
      </c>
      <c r="C83" t="s">
        <v>44</v>
      </c>
      <c r="D83" t="s">
        <v>1200</v>
      </c>
      <c r="E83" t="s">
        <v>18</v>
      </c>
      <c r="F83">
        <v>3</v>
      </c>
      <c r="G83" t="s">
        <v>16</v>
      </c>
      <c r="H83" t="s">
        <v>17</v>
      </c>
      <c r="I83" t="s">
        <v>1201</v>
      </c>
      <c r="J83" t="s">
        <v>1202</v>
      </c>
      <c r="K83">
        <v>1</v>
      </c>
      <c r="L83" t="s">
        <v>1303</v>
      </c>
      <c r="M83" s="3" t="str">
        <f>IF(B83="","","MCQ"&amp;"_"&amp;IFERROR(VLOOKUP(B83,LOOKUPS!$K$2:$L$10,2,FALSE),"UNK")&amp;"_"&amp;IFERROR(VLOOKUP(C83,LOOKUPS!$N$2:$O$10,2,FALSE),"UNK")&amp;"_"&amp;UPPER(L83))</f>
        <v>MCQ_FR_FILE_TAXDEAD</v>
      </c>
      <c r="N83" s="3">
        <f>IF(M83="","",COUNTIF($M$2:M83,M83))</f>
        <v>16</v>
      </c>
      <c r="O83" t="s">
        <v>1237</v>
      </c>
      <c r="P83" t="s">
        <v>1230</v>
      </c>
      <c r="Q83" t="s">
        <v>1232</v>
      </c>
      <c r="R83" t="s">
        <v>1234</v>
      </c>
      <c r="S83" t="s">
        <v>1236</v>
      </c>
      <c r="T83" t="s">
        <v>1238</v>
      </c>
      <c r="U83" t="s">
        <v>131</v>
      </c>
      <c r="V83" t="s">
        <v>1230</v>
      </c>
    </row>
    <row r="84" spans="1:22" customFormat="1" x14ac:dyDescent="0.3">
      <c r="A84" s="3" t="str">
        <f t="shared" si="1"/>
        <v>MCQ_FR_FILE_TAXDEAD_017</v>
      </c>
      <c r="B84" t="s">
        <v>1304</v>
      </c>
      <c r="C84" t="s">
        <v>44</v>
      </c>
      <c r="D84" t="s">
        <v>1200</v>
      </c>
      <c r="E84" t="s">
        <v>18</v>
      </c>
      <c r="F84">
        <v>3</v>
      </c>
      <c r="G84" t="s">
        <v>16</v>
      </c>
      <c r="H84" t="s">
        <v>17</v>
      </c>
      <c r="I84" t="s">
        <v>1201</v>
      </c>
      <c r="J84" t="s">
        <v>1202</v>
      </c>
      <c r="K84">
        <v>1</v>
      </c>
      <c r="L84" t="s">
        <v>1303</v>
      </c>
      <c r="M84" s="3" t="str">
        <f>IF(B84="","","MCQ"&amp;"_"&amp;IFERROR(VLOOKUP(B84,LOOKUPS!$K$2:$L$10,2,FALSE),"UNK")&amp;"_"&amp;IFERROR(VLOOKUP(C84,LOOKUPS!$N$2:$O$10,2,FALSE),"UNK")&amp;"_"&amp;UPPER(L84))</f>
        <v>MCQ_FR_FILE_TAXDEAD</v>
      </c>
      <c r="N84" s="3">
        <f>IF(M84="","",COUNTIF($M$2:M84,M84))</f>
        <v>17</v>
      </c>
      <c r="O84" t="s">
        <v>1239</v>
      </c>
      <c r="P84" t="s">
        <v>1234</v>
      </c>
      <c r="Q84" t="s">
        <v>1236</v>
      </c>
      <c r="R84" t="s">
        <v>1238</v>
      </c>
      <c r="S84" t="s">
        <v>1240</v>
      </c>
      <c r="T84" t="s">
        <v>1232</v>
      </c>
      <c r="U84" t="s">
        <v>224</v>
      </c>
      <c r="V84" t="s">
        <v>1232</v>
      </c>
    </row>
    <row r="85" spans="1:22" customFormat="1" x14ac:dyDescent="0.3">
      <c r="A85" s="3" t="str">
        <f t="shared" si="1"/>
        <v>MCQ_FR_FILE_TAXDEAD_018</v>
      </c>
      <c r="B85" t="s">
        <v>1304</v>
      </c>
      <c r="C85" t="s">
        <v>44</v>
      </c>
      <c r="D85" t="s">
        <v>1200</v>
      </c>
      <c r="E85" t="s">
        <v>18</v>
      </c>
      <c r="F85">
        <v>3</v>
      </c>
      <c r="G85" t="s">
        <v>16</v>
      </c>
      <c r="H85" t="s">
        <v>17</v>
      </c>
      <c r="I85" t="s">
        <v>1201</v>
      </c>
      <c r="J85" t="s">
        <v>1202</v>
      </c>
      <c r="K85">
        <v>1</v>
      </c>
      <c r="L85" t="s">
        <v>1303</v>
      </c>
      <c r="M85" s="3" t="str">
        <f>IF(B85="","","MCQ"&amp;"_"&amp;IFERROR(VLOOKUP(B85,LOOKUPS!$K$2:$L$10,2,FALSE),"UNK")&amp;"_"&amp;IFERROR(VLOOKUP(C85,LOOKUPS!$N$2:$O$10,2,FALSE),"UNK")&amp;"_"&amp;UPPER(L85))</f>
        <v>MCQ_FR_FILE_TAXDEAD</v>
      </c>
      <c r="N85" s="3">
        <f>IF(M85="","",COUNTIF($M$2:M85,M85))</f>
        <v>18</v>
      </c>
      <c r="O85" t="s">
        <v>1241</v>
      </c>
      <c r="P85" t="s">
        <v>1238</v>
      </c>
      <c r="Q85" t="s">
        <v>1240</v>
      </c>
      <c r="R85" t="s">
        <v>1242</v>
      </c>
      <c r="S85" t="s">
        <v>1234</v>
      </c>
      <c r="T85" t="s">
        <v>1236</v>
      </c>
      <c r="U85" t="s">
        <v>226</v>
      </c>
      <c r="V85" t="s">
        <v>1234</v>
      </c>
    </row>
    <row r="86" spans="1:22" customFormat="1" x14ac:dyDescent="0.3">
      <c r="A86" s="3" t="str">
        <f t="shared" si="1"/>
        <v>MCQ_FR_FILE_TAXDEAD_019</v>
      </c>
      <c r="B86" t="s">
        <v>1304</v>
      </c>
      <c r="C86" t="s">
        <v>44</v>
      </c>
      <c r="D86" t="s">
        <v>1200</v>
      </c>
      <c r="E86" t="s">
        <v>18</v>
      </c>
      <c r="F86">
        <v>3</v>
      </c>
      <c r="G86" t="s">
        <v>16</v>
      </c>
      <c r="H86" t="s">
        <v>17</v>
      </c>
      <c r="I86" t="s">
        <v>1201</v>
      </c>
      <c r="J86" t="s">
        <v>1202</v>
      </c>
      <c r="K86">
        <v>1</v>
      </c>
      <c r="L86" t="s">
        <v>1303</v>
      </c>
      <c r="M86" s="3" t="str">
        <f>IF(B86="","","MCQ"&amp;"_"&amp;IFERROR(VLOOKUP(B86,LOOKUPS!$K$2:$L$10,2,FALSE),"UNK")&amp;"_"&amp;IFERROR(VLOOKUP(C86,LOOKUPS!$N$2:$O$10,2,FALSE),"UNK")&amp;"_"&amp;UPPER(L86))</f>
        <v>MCQ_FR_FILE_TAXDEAD</v>
      </c>
      <c r="N86" s="3">
        <f>IF(M86="","",COUNTIF($M$2:M86,M86))</f>
        <v>19</v>
      </c>
      <c r="O86" t="s">
        <v>1243</v>
      </c>
      <c r="P86" t="s">
        <v>1242</v>
      </c>
      <c r="Q86" t="s">
        <v>1244</v>
      </c>
      <c r="R86" t="s">
        <v>1236</v>
      </c>
      <c r="S86" t="s">
        <v>1238</v>
      </c>
      <c r="T86" t="s">
        <v>1240</v>
      </c>
      <c r="U86" t="s">
        <v>223</v>
      </c>
      <c r="V86" t="s">
        <v>1236</v>
      </c>
    </row>
    <row r="87" spans="1:22" customFormat="1" x14ac:dyDescent="0.3">
      <c r="A87" s="3" t="str">
        <f t="shared" si="1"/>
        <v>MCQ_FR_FILE_TAXDEAD_020</v>
      </c>
      <c r="B87" t="s">
        <v>1304</v>
      </c>
      <c r="C87" t="s">
        <v>44</v>
      </c>
      <c r="D87" t="s">
        <v>1200</v>
      </c>
      <c r="E87" t="s">
        <v>18</v>
      </c>
      <c r="F87">
        <v>3</v>
      </c>
      <c r="G87" t="s">
        <v>16</v>
      </c>
      <c r="H87" t="s">
        <v>17</v>
      </c>
      <c r="I87" t="s">
        <v>1201</v>
      </c>
      <c r="J87" t="s">
        <v>1202</v>
      </c>
      <c r="K87">
        <v>1</v>
      </c>
      <c r="L87" t="s">
        <v>1303</v>
      </c>
      <c r="M87" s="3" t="str">
        <f>IF(B87="","","MCQ"&amp;"_"&amp;IFERROR(VLOOKUP(B87,LOOKUPS!$K$2:$L$10,2,FALSE),"UNK")&amp;"_"&amp;IFERROR(VLOOKUP(C87,LOOKUPS!$N$2:$O$10,2,FALSE),"UNK")&amp;"_"&amp;UPPER(L87))</f>
        <v>MCQ_FR_FILE_TAXDEAD</v>
      </c>
      <c r="N87" s="3">
        <f>IF(M87="","",COUNTIF($M$2:M87,M87))</f>
        <v>20</v>
      </c>
      <c r="O87" t="s">
        <v>1245</v>
      </c>
      <c r="P87" t="s">
        <v>1244</v>
      </c>
      <c r="Q87" t="s">
        <v>1238</v>
      </c>
      <c r="R87" t="s">
        <v>1236</v>
      </c>
      <c r="S87" t="s">
        <v>1240</v>
      </c>
      <c r="T87" t="s">
        <v>1242</v>
      </c>
      <c r="U87" t="s">
        <v>225</v>
      </c>
      <c r="V87" t="s">
        <v>1238</v>
      </c>
    </row>
    <row r="88" spans="1:22" customFormat="1" x14ac:dyDescent="0.3">
      <c r="A88" s="3" t="str">
        <f t="shared" si="1"/>
        <v>MCQ_FR_FILE_TAXDEAD_021</v>
      </c>
      <c r="B88" t="s">
        <v>1304</v>
      </c>
      <c r="C88" t="s">
        <v>44</v>
      </c>
      <c r="D88" t="s">
        <v>1200</v>
      </c>
      <c r="E88" t="s">
        <v>18</v>
      </c>
      <c r="F88">
        <v>3</v>
      </c>
      <c r="G88" t="s">
        <v>16</v>
      </c>
      <c r="H88" t="s">
        <v>17</v>
      </c>
      <c r="I88" t="s">
        <v>1201</v>
      </c>
      <c r="J88" t="s">
        <v>1202</v>
      </c>
      <c r="K88">
        <v>1</v>
      </c>
      <c r="L88" t="s">
        <v>1303</v>
      </c>
      <c r="M88" s="3" t="str">
        <f>IF(B88="","","MCQ"&amp;"_"&amp;IFERROR(VLOOKUP(B88,LOOKUPS!$K$2:$L$10,2,FALSE),"UNK")&amp;"_"&amp;IFERROR(VLOOKUP(C88,LOOKUPS!$N$2:$O$10,2,FALSE),"UNK")&amp;"_"&amp;UPPER(L88))</f>
        <v>MCQ_FR_FILE_TAXDEAD</v>
      </c>
      <c r="N88" s="3">
        <f>IF(M88="","",COUNTIF($M$2:M88,M88))</f>
        <v>21</v>
      </c>
      <c r="O88" t="s">
        <v>1246</v>
      </c>
      <c r="P88" t="s">
        <v>1236</v>
      </c>
      <c r="Q88" t="s">
        <v>1240</v>
      </c>
      <c r="R88" t="s">
        <v>1242</v>
      </c>
      <c r="S88" t="s">
        <v>1244</v>
      </c>
      <c r="T88" t="s">
        <v>1247</v>
      </c>
      <c r="U88" t="s">
        <v>131</v>
      </c>
      <c r="V88" t="s">
        <v>1236</v>
      </c>
    </row>
    <row r="89" spans="1:22" customFormat="1" x14ac:dyDescent="0.3">
      <c r="A89" s="3" t="str">
        <f t="shared" si="1"/>
        <v>MCQ_FR_FILE_TAXDEAD_022</v>
      </c>
      <c r="B89" t="s">
        <v>1304</v>
      </c>
      <c r="C89" t="s">
        <v>44</v>
      </c>
      <c r="D89" t="s">
        <v>1200</v>
      </c>
      <c r="E89" t="s">
        <v>18</v>
      </c>
      <c r="F89">
        <v>3</v>
      </c>
      <c r="G89" t="s">
        <v>16</v>
      </c>
      <c r="H89" t="s">
        <v>17</v>
      </c>
      <c r="I89" t="s">
        <v>1201</v>
      </c>
      <c r="J89" t="s">
        <v>1202</v>
      </c>
      <c r="K89">
        <v>1</v>
      </c>
      <c r="L89" t="s">
        <v>1303</v>
      </c>
      <c r="M89" s="3" t="str">
        <f>IF(B89="","","MCQ"&amp;"_"&amp;IFERROR(VLOOKUP(B89,LOOKUPS!$K$2:$L$10,2,FALSE),"UNK")&amp;"_"&amp;IFERROR(VLOOKUP(C89,LOOKUPS!$N$2:$O$10,2,FALSE),"UNK")&amp;"_"&amp;UPPER(L89))</f>
        <v>MCQ_FR_FILE_TAXDEAD</v>
      </c>
      <c r="N89" s="3">
        <f>IF(M89="","",COUNTIF($M$2:M89,M89))</f>
        <v>22</v>
      </c>
      <c r="O89" t="s">
        <v>1248</v>
      </c>
      <c r="P89" t="s">
        <v>1242</v>
      </c>
      <c r="Q89" t="s">
        <v>1244</v>
      </c>
      <c r="R89" t="s">
        <v>1247</v>
      </c>
      <c r="S89" t="s">
        <v>1249</v>
      </c>
      <c r="T89" t="s">
        <v>1240</v>
      </c>
      <c r="U89" t="s">
        <v>224</v>
      </c>
      <c r="V89" t="s">
        <v>1240</v>
      </c>
    </row>
    <row r="90" spans="1:22" customFormat="1" x14ac:dyDescent="0.3">
      <c r="A90" s="3" t="str">
        <f t="shared" si="1"/>
        <v>MCQ_FR_FILE_TAXDEAD_023</v>
      </c>
      <c r="B90" t="s">
        <v>1304</v>
      </c>
      <c r="C90" t="s">
        <v>44</v>
      </c>
      <c r="D90" t="s">
        <v>1200</v>
      </c>
      <c r="E90" t="s">
        <v>18</v>
      </c>
      <c r="F90">
        <v>3</v>
      </c>
      <c r="G90" t="s">
        <v>16</v>
      </c>
      <c r="H90" t="s">
        <v>17</v>
      </c>
      <c r="I90" t="s">
        <v>1201</v>
      </c>
      <c r="J90" t="s">
        <v>1202</v>
      </c>
      <c r="K90">
        <v>1</v>
      </c>
      <c r="L90" t="s">
        <v>1303</v>
      </c>
      <c r="M90" s="3" t="str">
        <f>IF(B90="","","MCQ"&amp;"_"&amp;IFERROR(VLOOKUP(B90,LOOKUPS!$K$2:$L$10,2,FALSE),"UNK")&amp;"_"&amp;IFERROR(VLOOKUP(C90,LOOKUPS!$N$2:$O$10,2,FALSE),"UNK")&amp;"_"&amp;UPPER(L90))</f>
        <v>MCQ_FR_FILE_TAXDEAD</v>
      </c>
      <c r="N90" s="3">
        <f>IF(M90="","",COUNTIF($M$2:M90,M90))</f>
        <v>23</v>
      </c>
      <c r="O90" t="s">
        <v>1250</v>
      </c>
      <c r="P90" t="s">
        <v>1247</v>
      </c>
      <c r="Q90" t="s">
        <v>1249</v>
      </c>
      <c r="R90" t="s">
        <v>1251</v>
      </c>
      <c r="S90" t="s">
        <v>1242</v>
      </c>
      <c r="T90" t="s">
        <v>1244</v>
      </c>
      <c r="U90" t="s">
        <v>226</v>
      </c>
      <c r="V90" t="s">
        <v>1242</v>
      </c>
    </row>
    <row r="91" spans="1:22" customFormat="1" x14ac:dyDescent="0.3">
      <c r="A91" s="3" t="str">
        <f t="shared" si="1"/>
        <v>MCQ_FR_FILE_TAXDEAD_024</v>
      </c>
      <c r="B91" t="s">
        <v>1304</v>
      </c>
      <c r="C91" t="s">
        <v>44</v>
      </c>
      <c r="D91" t="s">
        <v>1200</v>
      </c>
      <c r="E91" t="s">
        <v>18</v>
      </c>
      <c r="F91">
        <v>3</v>
      </c>
      <c r="G91" t="s">
        <v>16</v>
      </c>
      <c r="H91" t="s">
        <v>17</v>
      </c>
      <c r="I91" t="s">
        <v>1201</v>
      </c>
      <c r="J91" t="s">
        <v>1202</v>
      </c>
      <c r="K91">
        <v>1</v>
      </c>
      <c r="L91" t="s">
        <v>1303</v>
      </c>
      <c r="M91" s="3" t="str">
        <f>IF(B91="","","MCQ"&amp;"_"&amp;IFERROR(VLOOKUP(B91,LOOKUPS!$K$2:$L$10,2,FALSE),"UNK")&amp;"_"&amp;IFERROR(VLOOKUP(C91,LOOKUPS!$N$2:$O$10,2,FALSE),"UNK")&amp;"_"&amp;UPPER(L91))</f>
        <v>MCQ_FR_FILE_TAXDEAD</v>
      </c>
      <c r="N91" s="3">
        <f>IF(M91="","",COUNTIF($M$2:M91,M91))</f>
        <v>24</v>
      </c>
      <c r="O91" t="s">
        <v>1252</v>
      </c>
      <c r="P91" t="s">
        <v>1249</v>
      </c>
      <c r="Q91" t="s">
        <v>1251</v>
      </c>
      <c r="R91" t="s">
        <v>1242</v>
      </c>
      <c r="S91" t="s">
        <v>1244</v>
      </c>
      <c r="T91" t="s">
        <v>1247</v>
      </c>
      <c r="U91" t="s">
        <v>223</v>
      </c>
      <c r="V91" t="s">
        <v>1242</v>
      </c>
    </row>
    <row r="92" spans="1:22" customFormat="1" x14ac:dyDescent="0.3">
      <c r="A92" s="3" t="str">
        <f t="shared" si="1"/>
        <v>MCQ_FR_FILE_TAXDEAD_025</v>
      </c>
      <c r="B92" t="s">
        <v>1304</v>
      </c>
      <c r="C92" t="s">
        <v>44</v>
      </c>
      <c r="D92" t="s">
        <v>1200</v>
      </c>
      <c r="E92" t="s">
        <v>18</v>
      </c>
      <c r="F92">
        <v>3</v>
      </c>
      <c r="G92" t="s">
        <v>16</v>
      </c>
      <c r="H92" t="s">
        <v>17</v>
      </c>
      <c r="I92" t="s">
        <v>1201</v>
      </c>
      <c r="J92" t="s">
        <v>1202</v>
      </c>
      <c r="K92">
        <v>1</v>
      </c>
      <c r="L92" t="s">
        <v>1303</v>
      </c>
      <c r="M92" s="3" t="str">
        <f>IF(B92="","","MCQ"&amp;"_"&amp;IFERROR(VLOOKUP(B92,LOOKUPS!$K$2:$L$10,2,FALSE),"UNK")&amp;"_"&amp;IFERROR(VLOOKUP(C92,LOOKUPS!$N$2:$O$10,2,FALSE),"UNK")&amp;"_"&amp;UPPER(L92))</f>
        <v>MCQ_FR_FILE_TAXDEAD</v>
      </c>
      <c r="N92" s="3">
        <f>IF(M92="","",COUNTIF($M$2:M92,M92))</f>
        <v>25</v>
      </c>
      <c r="O92" t="s">
        <v>1253</v>
      </c>
      <c r="P92" t="s">
        <v>1254</v>
      </c>
      <c r="Q92" t="s">
        <v>1244</v>
      </c>
      <c r="R92" t="s">
        <v>1247</v>
      </c>
      <c r="S92" t="s">
        <v>1249</v>
      </c>
      <c r="T92" t="s">
        <v>1251</v>
      </c>
      <c r="U92" t="s">
        <v>225</v>
      </c>
      <c r="V92" t="s">
        <v>1244</v>
      </c>
    </row>
    <row r="93" spans="1:22" customFormat="1" x14ac:dyDescent="0.3">
      <c r="A93" s="3" t="str">
        <f t="shared" si="1"/>
        <v>MCQ_FR_FILE_TAXDEAD_026</v>
      </c>
      <c r="B93" t="s">
        <v>1304</v>
      </c>
      <c r="C93" t="s">
        <v>44</v>
      </c>
      <c r="D93" t="s">
        <v>1200</v>
      </c>
      <c r="E93" t="s">
        <v>18</v>
      </c>
      <c r="F93">
        <v>3</v>
      </c>
      <c r="G93" t="s">
        <v>16</v>
      </c>
      <c r="H93" t="s">
        <v>17</v>
      </c>
      <c r="I93" t="s">
        <v>1201</v>
      </c>
      <c r="J93" t="s">
        <v>1202</v>
      </c>
      <c r="K93">
        <v>1</v>
      </c>
      <c r="L93" t="s">
        <v>1303</v>
      </c>
      <c r="M93" s="3" t="str">
        <f>IF(B93="","","MCQ"&amp;"_"&amp;IFERROR(VLOOKUP(B93,LOOKUPS!$K$2:$L$10,2,FALSE),"UNK")&amp;"_"&amp;IFERROR(VLOOKUP(C93,LOOKUPS!$N$2:$O$10,2,FALSE),"UNK")&amp;"_"&amp;UPPER(L93))</f>
        <v>MCQ_FR_FILE_TAXDEAD</v>
      </c>
      <c r="N93" s="3">
        <f>IF(M93="","",COUNTIF($M$2:M93,M93))</f>
        <v>26</v>
      </c>
      <c r="O93" t="s">
        <v>1255</v>
      </c>
      <c r="P93" t="s">
        <v>1247</v>
      </c>
      <c r="Q93" t="s">
        <v>1249</v>
      </c>
      <c r="R93" t="s">
        <v>1251</v>
      </c>
      <c r="S93" t="s">
        <v>1254</v>
      </c>
      <c r="T93" t="s">
        <v>1256</v>
      </c>
      <c r="U93" t="s">
        <v>131</v>
      </c>
      <c r="V93" t="s">
        <v>1247</v>
      </c>
    </row>
    <row r="94" spans="1:22" customFormat="1" x14ac:dyDescent="0.3">
      <c r="A94" s="3" t="str">
        <f t="shared" si="1"/>
        <v>MCQ_FR_FILE_TAXDEAD_027</v>
      </c>
      <c r="B94" t="s">
        <v>1304</v>
      </c>
      <c r="C94" t="s">
        <v>44</v>
      </c>
      <c r="D94" t="s">
        <v>1200</v>
      </c>
      <c r="E94" t="s">
        <v>18</v>
      </c>
      <c r="F94">
        <v>3</v>
      </c>
      <c r="G94" t="s">
        <v>16</v>
      </c>
      <c r="H94" t="s">
        <v>17</v>
      </c>
      <c r="I94" t="s">
        <v>1201</v>
      </c>
      <c r="J94" t="s">
        <v>1202</v>
      </c>
      <c r="K94">
        <v>1</v>
      </c>
      <c r="L94" t="s">
        <v>1303</v>
      </c>
      <c r="M94" s="3" t="str">
        <f>IF(B94="","","MCQ"&amp;"_"&amp;IFERROR(VLOOKUP(B94,LOOKUPS!$K$2:$L$10,2,FALSE),"UNK")&amp;"_"&amp;IFERROR(VLOOKUP(C94,LOOKUPS!$N$2:$O$10,2,FALSE),"UNK")&amp;"_"&amp;UPPER(L94))</f>
        <v>MCQ_FR_FILE_TAXDEAD</v>
      </c>
      <c r="N94" s="3">
        <f>IF(M94="","",COUNTIF($M$2:M94,M94))</f>
        <v>27</v>
      </c>
      <c r="O94" t="s">
        <v>1257</v>
      </c>
      <c r="P94" t="s">
        <v>1251</v>
      </c>
      <c r="Q94" t="s">
        <v>1254</v>
      </c>
      <c r="R94" t="s">
        <v>1256</v>
      </c>
      <c r="S94" t="s">
        <v>1258</v>
      </c>
      <c r="T94" t="s">
        <v>1249</v>
      </c>
      <c r="U94" t="s">
        <v>224</v>
      </c>
      <c r="V94" t="s">
        <v>1249</v>
      </c>
    </row>
    <row r="95" spans="1:22" customFormat="1" x14ac:dyDescent="0.3">
      <c r="A95" s="3" t="str">
        <f t="shared" si="1"/>
        <v>MCQ_FR_FILE_TAXDEAD_028</v>
      </c>
      <c r="B95" t="s">
        <v>1304</v>
      </c>
      <c r="C95" t="s">
        <v>44</v>
      </c>
      <c r="D95" t="s">
        <v>1200</v>
      </c>
      <c r="E95" t="s">
        <v>18</v>
      </c>
      <c r="F95">
        <v>3</v>
      </c>
      <c r="G95" t="s">
        <v>16</v>
      </c>
      <c r="H95" t="s">
        <v>17</v>
      </c>
      <c r="I95" t="s">
        <v>1201</v>
      </c>
      <c r="J95" t="s">
        <v>1202</v>
      </c>
      <c r="K95">
        <v>1</v>
      </c>
      <c r="L95" t="s">
        <v>1303</v>
      </c>
      <c r="M95" s="3" t="str">
        <f>IF(B95="","","MCQ"&amp;"_"&amp;IFERROR(VLOOKUP(B95,LOOKUPS!$K$2:$L$10,2,FALSE),"UNK")&amp;"_"&amp;IFERROR(VLOOKUP(C95,LOOKUPS!$N$2:$O$10,2,FALSE),"UNK")&amp;"_"&amp;UPPER(L95))</f>
        <v>MCQ_FR_FILE_TAXDEAD</v>
      </c>
      <c r="N95" s="3">
        <f>IF(M95="","",COUNTIF($M$2:M95,M95))</f>
        <v>28</v>
      </c>
      <c r="O95" t="s">
        <v>1259</v>
      </c>
      <c r="P95" t="s">
        <v>1256</v>
      </c>
      <c r="Q95" t="s">
        <v>1258</v>
      </c>
      <c r="R95" t="s">
        <v>1260</v>
      </c>
      <c r="S95" t="s">
        <v>1251</v>
      </c>
      <c r="T95" t="s">
        <v>1254</v>
      </c>
      <c r="U95" t="s">
        <v>226</v>
      </c>
      <c r="V95" t="s">
        <v>1251</v>
      </c>
    </row>
    <row r="96" spans="1:22" customFormat="1" x14ac:dyDescent="0.3">
      <c r="A96" s="3" t="str">
        <f t="shared" si="1"/>
        <v>MCQ_FR_FILE_TAXDEAD_029</v>
      </c>
      <c r="B96" t="s">
        <v>1304</v>
      </c>
      <c r="C96" t="s">
        <v>44</v>
      </c>
      <c r="D96" t="s">
        <v>1200</v>
      </c>
      <c r="E96" t="s">
        <v>18</v>
      </c>
      <c r="F96">
        <v>3</v>
      </c>
      <c r="G96" t="s">
        <v>16</v>
      </c>
      <c r="H96" t="s">
        <v>17</v>
      </c>
      <c r="I96" t="s">
        <v>1201</v>
      </c>
      <c r="J96" t="s">
        <v>1202</v>
      </c>
      <c r="K96">
        <v>1</v>
      </c>
      <c r="L96" t="s">
        <v>1303</v>
      </c>
      <c r="M96" s="3" t="str">
        <f>IF(B96="","","MCQ"&amp;"_"&amp;IFERROR(VLOOKUP(B96,LOOKUPS!$K$2:$L$10,2,FALSE),"UNK")&amp;"_"&amp;IFERROR(VLOOKUP(C96,LOOKUPS!$N$2:$O$10,2,FALSE),"UNK")&amp;"_"&amp;UPPER(L96))</f>
        <v>MCQ_FR_FILE_TAXDEAD</v>
      </c>
      <c r="N96" s="3">
        <f>IF(M96="","",COUNTIF($M$2:M96,M96))</f>
        <v>29</v>
      </c>
      <c r="O96" t="s">
        <v>1261</v>
      </c>
      <c r="P96" t="s">
        <v>1260</v>
      </c>
      <c r="Q96" t="s">
        <v>1262</v>
      </c>
      <c r="R96" t="s">
        <v>1254</v>
      </c>
      <c r="S96" t="s">
        <v>1256</v>
      </c>
      <c r="T96" t="s">
        <v>1258</v>
      </c>
      <c r="U96" t="s">
        <v>223</v>
      </c>
      <c r="V96" t="s">
        <v>1254</v>
      </c>
    </row>
    <row r="97" spans="1:22" customFormat="1" x14ac:dyDescent="0.3">
      <c r="A97" s="3" t="str">
        <f t="shared" si="1"/>
        <v>MCQ_FR_FILE_TAXDEAD_030</v>
      </c>
      <c r="B97" t="s">
        <v>1304</v>
      </c>
      <c r="C97" t="s">
        <v>44</v>
      </c>
      <c r="D97" t="s">
        <v>1200</v>
      </c>
      <c r="E97" t="s">
        <v>18</v>
      </c>
      <c r="F97">
        <v>3</v>
      </c>
      <c r="G97" t="s">
        <v>16</v>
      </c>
      <c r="H97" t="s">
        <v>17</v>
      </c>
      <c r="I97" t="s">
        <v>1201</v>
      </c>
      <c r="J97" t="s">
        <v>1202</v>
      </c>
      <c r="K97">
        <v>1</v>
      </c>
      <c r="L97" t="s">
        <v>1303</v>
      </c>
      <c r="M97" s="3" t="str">
        <f>IF(B97="","","MCQ"&amp;"_"&amp;IFERROR(VLOOKUP(B97,LOOKUPS!$K$2:$L$10,2,FALSE),"UNK")&amp;"_"&amp;IFERROR(VLOOKUP(C97,LOOKUPS!$N$2:$O$10,2,FALSE),"UNK")&amp;"_"&amp;UPPER(L97))</f>
        <v>MCQ_FR_FILE_TAXDEAD</v>
      </c>
      <c r="N97" s="3">
        <f>IF(M97="","",COUNTIF($M$2:M97,M97))</f>
        <v>30</v>
      </c>
      <c r="O97" t="s">
        <v>1263</v>
      </c>
      <c r="P97" t="s">
        <v>1264</v>
      </c>
      <c r="Q97" t="s">
        <v>1256</v>
      </c>
      <c r="R97" t="s">
        <v>1258</v>
      </c>
      <c r="S97" t="s">
        <v>1260</v>
      </c>
      <c r="T97" t="s">
        <v>1262</v>
      </c>
      <c r="U97" t="s">
        <v>225</v>
      </c>
      <c r="V97" t="s">
        <v>1256</v>
      </c>
    </row>
    <row r="98" spans="1:22" customFormat="1" x14ac:dyDescent="0.3">
      <c r="A98" s="3" t="str">
        <f t="shared" si="1"/>
        <v>MCQ_FR_FILE_TAXDEAD_031</v>
      </c>
      <c r="B98" t="s">
        <v>1304</v>
      </c>
      <c r="C98" t="s">
        <v>44</v>
      </c>
      <c r="D98" t="s">
        <v>1200</v>
      </c>
      <c r="E98" t="s">
        <v>18</v>
      </c>
      <c r="F98">
        <v>3</v>
      </c>
      <c r="G98" t="s">
        <v>16</v>
      </c>
      <c r="H98" t="s">
        <v>17</v>
      </c>
      <c r="I98" t="s">
        <v>1201</v>
      </c>
      <c r="J98" t="s">
        <v>1202</v>
      </c>
      <c r="K98">
        <v>1</v>
      </c>
      <c r="L98" t="s">
        <v>1303</v>
      </c>
      <c r="M98" s="3" t="str">
        <f>IF(B98="","","MCQ"&amp;"_"&amp;IFERROR(VLOOKUP(B98,LOOKUPS!$K$2:$L$10,2,FALSE),"UNK")&amp;"_"&amp;IFERROR(VLOOKUP(C98,LOOKUPS!$N$2:$O$10,2,FALSE),"UNK")&amp;"_"&amp;UPPER(L98))</f>
        <v>MCQ_FR_FILE_TAXDEAD</v>
      </c>
      <c r="N98" s="3">
        <f>IF(M98="","",COUNTIF($M$2:M98,M98))</f>
        <v>31</v>
      </c>
      <c r="O98" t="s">
        <v>1265</v>
      </c>
      <c r="P98" t="s">
        <v>1258</v>
      </c>
      <c r="Q98" t="s">
        <v>1260</v>
      </c>
      <c r="R98" t="s">
        <v>1262</v>
      </c>
      <c r="S98" t="s">
        <v>1264</v>
      </c>
      <c r="T98" t="s">
        <v>1266</v>
      </c>
      <c r="U98" t="s">
        <v>131</v>
      </c>
      <c r="V98" t="s">
        <v>1258</v>
      </c>
    </row>
    <row r="99" spans="1:22" customFormat="1" x14ac:dyDescent="0.3">
      <c r="A99" s="3" t="str">
        <f t="shared" si="1"/>
        <v>MCQ_FR_FILE_TAXDEAD_032</v>
      </c>
      <c r="B99" t="s">
        <v>1304</v>
      </c>
      <c r="C99" t="s">
        <v>44</v>
      </c>
      <c r="D99" t="s">
        <v>1200</v>
      </c>
      <c r="E99" t="s">
        <v>18</v>
      </c>
      <c r="F99">
        <v>3</v>
      </c>
      <c r="G99" t="s">
        <v>16</v>
      </c>
      <c r="H99" t="s">
        <v>17</v>
      </c>
      <c r="I99" t="s">
        <v>1201</v>
      </c>
      <c r="J99" t="s">
        <v>1202</v>
      </c>
      <c r="K99">
        <v>1</v>
      </c>
      <c r="L99" t="s">
        <v>1303</v>
      </c>
      <c r="M99" s="3" t="str">
        <f>IF(B99="","","MCQ"&amp;"_"&amp;IFERROR(VLOOKUP(B99,LOOKUPS!$K$2:$L$10,2,FALSE),"UNK")&amp;"_"&amp;IFERROR(VLOOKUP(C99,LOOKUPS!$N$2:$O$10,2,FALSE),"UNK")&amp;"_"&amp;UPPER(L99))</f>
        <v>MCQ_FR_FILE_TAXDEAD</v>
      </c>
      <c r="N99" s="3">
        <f>IF(M99="","",COUNTIF($M$2:M99,M99))</f>
        <v>32</v>
      </c>
      <c r="O99" t="s">
        <v>1267</v>
      </c>
      <c r="P99" t="s">
        <v>1262</v>
      </c>
      <c r="Q99" t="s">
        <v>1264</v>
      </c>
      <c r="R99" t="s">
        <v>1266</v>
      </c>
      <c r="S99" t="s">
        <v>1268</v>
      </c>
      <c r="T99" t="s">
        <v>1260</v>
      </c>
      <c r="U99" t="s">
        <v>224</v>
      </c>
      <c r="V99" t="s">
        <v>1260</v>
      </c>
    </row>
    <row r="100" spans="1:22" customFormat="1" x14ac:dyDescent="0.3">
      <c r="A100" s="3" t="str">
        <f t="shared" si="1"/>
        <v>MCQ_FR_FILE_TAXDEAD_033</v>
      </c>
      <c r="B100" t="s">
        <v>1304</v>
      </c>
      <c r="C100" t="s">
        <v>44</v>
      </c>
      <c r="D100" t="s">
        <v>1200</v>
      </c>
      <c r="E100" t="s">
        <v>18</v>
      </c>
      <c r="F100">
        <v>3</v>
      </c>
      <c r="G100" t="s">
        <v>16</v>
      </c>
      <c r="H100" t="s">
        <v>17</v>
      </c>
      <c r="I100" t="s">
        <v>1201</v>
      </c>
      <c r="J100" t="s">
        <v>1202</v>
      </c>
      <c r="K100">
        <v>1</v>
      </c>
      <c r="L100" t="s">
        <v>1303</v>
      </c>
      <c r="M100" s="3" t="str">
        <f>IF(B100="","","MCQ"&amp;"_"&amp;IFERROR(VLOOKUP(B100,LOOKUPS!$K$2:$L$10,2,FALSE),"UNK")&amp;"_"&amp;IFERROR(VLOOKUP(C100,LOOKUPS!$N$2:$O$10,2,FALSE),"UNK")&amp;"_"&amp;UPPER(L100))</f>
        <v>MCQ_FR_FILE_TAXDEAD</v>
      </c>
      <c r="N100" s="3">
        <f>IF(M100="","",COUNTIF($M$2:M100,M100))</f>
        <v>33</v>
      </c>
      <c r="O100" t="s">
        <v>1269</v>
      </c>
      <c r="P100" t="s">
        <v>1266</v>
      </c>
      <c r="Q100" t="s">
        <v>1268</v>
      </c>
      <c r="R100" t="s">
        <v>1270</v>
      </c>
      <c r="S100" t="s">
        <v>1262</v>
      </c>
      <c r="T100" t="s">
        <v>1264</v>
      </c>
      <c r="U100" t="s">
        <v>226</v>
      </c>
      <c r="V100" t="s">
        <v>1262</v>
      </c>
    </row>
    <row r="101" spans="1:22" customFormat="1" x14ac:dyDescent="0.3">
      <c r="A101" s="3" t="str">
        <f t="shared" si="1"/>
        <v>MCQ_FR_FILE_TAXDEAD_034</v>
      </c>
      <c r="B101" t="s">
        <v>1304</v>
      </c>
      <c r="C101" t="s">
        <v>44</v>
      </c>
      <c r="D101" t="s">
        <v>1200</v>
      </c>
      <c r="E101" t="s">
        <v>18</v>
      </c>
      <c r="F101">
        <v>3</v>
      </c>
      <c r="G101" t="s">
        <v>16</v>
      </c>
      <c r="H101" t="s">
        <v>17</v>
      </c>
      <c r="I101" t="s">
        <v>1201</v>
      </c>
      <c r="J101" t="s">
        <v>1202</v>
      </c>
      <c r="K101">
        <v>1</v>
      </c>
      <c r="L101" t="s">
        <v>1303</v>
      </c>
      <c r="M101" s="3" t="str">
        <f>IF(B101="","","MCQ"&amp;"_"&amp;IFERROR(VLOOKUP(B101,LOOKUPS!$K$2:$L$10,2,FALSE),"UNK")&amp;"_"&amp;IFERROR(VLOOKUP(C101,LOOKUPS!$N$2:$O$10,2,FALSE),"UNK")&amp;"_"&amp;UPPER(L101))</f>
        <v>MCQ_FR_FILE_TAXDEAD</v>
      </c>
      <c r="N101" s="3">
        <f>IF(M101="","",COUNTIF($M$2:M101,M101))</f>
        <v>34</v>
      </c>
      <c r="O101" t="s">
        <v>1271</v>
      </c>
      <c r="P101" t="s">
        <v>1270</v>
      </c>
      <c r="Q101" t="s">
        <v>1272</v>
      </c>
      <c r="R101" t="s">
        <v>1264</v>
      </c>
      <c r="S101" t="s">
        <v>1266</v>
      </c>
      <c r="T101" t="s">
        <v>1268</v>
      </c>
      <c r="U101" t="s">
        <v>223</v>
      </c>
      <c r="V101" t="s">
        <v>1264</v>
      </c>
    </row>
    <row r="102" spans="1:22" customFormat="1" x14ac:dyDescent="0.3">
      <c r="A102" s="3" t="str">
        <f t="shared" si="1"/>
        <v>MCQ_FR_FILE_TAXDEAD_035</v>
      </c>
      <c r="B102" t="s">
        <v>1304</v>
      </c>
      <c r="C102" t="s">
        <v>44</v>
      </c>
      <c r="D102" t="s">
        <v>1200</v>
      </c>
      <c r="E102" t="s">
        <v>18</v>
      </c>
      <c r="F102">
        <v>3</v>
      </c>
      <c r="G102" t="s">
        <v>16</v>
      </c>
      <c r="H102" t="s">
        <v>17</v>
      </c>
      <c r="I102" t="s">
        <v>1201</v>
      </c>
      <c r="J102" t="s">
        <v>1202</v>
      </c>
      <c r="K102">
        <v>1</v>
      </c>
      <c r="L102" t="s">
        <v>1303</v>
      </c>
      <c r="M102" s="3" t="str">
        <f>IF(B102="","","MCQ"&amp;"_"&amp;IFERROR(VLOOKUP(B102,LOOKUPS!$K$2:$L$10,2,FALSE),"UNK")&amp;"_"&amp;IFERROR(VLOOKUP(C102,LOOKUPS!$N$2:$O$10,2,FALSE),"UNK")&amp;"_"&amp;UPPER(L102))</f>
        <v>MCQ_FR_FILE_TAXDEAD</v>
      </c>
      <c r="N102" s="3">
        <f>IF(M102="","",COUNTIF($M$2:M102,M102))</f>
        <v>35</v>
      </c>
      <c r="O102" t="s">
        <v>1273</v>
      </c>
      <c r="P102" t="s">
        <v>1274</v>
      </c>
      <c r="Q102" t="s">
        <v>1266</v>
      </c>
      <c r="R102" t="s">
        <v>1268</v>
      </c>
      <c r="S102" t="s">
        <v>1270</v>
      </c>
      <c r="T102" t="s">
        <v>1272</v>
      </c>
      <c r="U102" t="s">
        <v>225</v>
      </c>
      <c r="V102" t="s">
        <v>1266</v>
      </c>
    </row>
    <row r="103" spans="1:22" customFormat="1" x14ac:dyDescent="0.3">
      <c r="A103" s="3" t="str">
        <f t="shared" si="1"/>
        <v>MCQ_FR_FILE_TAXDEAD_036</v>
      </c>
      <c r="B103" t="s">
        <v>1304</v>
      </c>
      <c r="C103" t="s">
        <v>44</v>
      </c>
      <c r="D103" t="s">
        <v>1200</v>
      </c>
      <c r="E103" t="s">
        <v>18</v>
      </c>
      <c r="F103">
        <v>3</v>
      </c>
      <c r="G103" t="s">
        <v>16</v>
      </c>
      <c r="H103" t="s">
        <v>17</v>
      </c>
      <c r="I103" t="s">
        <v>1201</v>
      </c>
      <c r="J103" t="s">
        <v>1202</v>
      </c>
      <c r="K103">
        <v>1</v>
      </c>
      <c r="L103" t="s">
        <v>1303</v>
      </c>
      <c r="M103" s="3" t="str">
        <f>IF(B103="","","MCQ"&amp;"_"&amp;IFERROR(VLOOKUP(B103,LOOKUPS!$K$2:$L$10,2,FALSE),"UNK")&amp;"_"&amp;IFERROR(VLOOKUP(C103,LOOKUPS!$N$2:$O$10,2,FALSE),"UNK")&amp;"_"&amp;UPPER(L103))</f>
        <v>MCQ_FR_FILE_TAXDEAD</v>
      </c>
      <c r="N103" s="3">
        <f>IF(M103="","",COUNTIF($M$2:M103,M103))</f>
        <v>36</v>
      </c>
      <c r="O103" t="s">
        <v>1275</v>
      </c>
      <c r="P103" t="s">
        <v>1268</v>
      </c>
      <c r="Q103" t="s">
        <v>1270</v>
      </c>
      <c r="R103" t="s">
        <v>1272</v>
      </c>
      <c r="S103" t="s">
        <v>1274</v>
      </c>
      <c r="T103" t="s">
        <v>1276</v>
      </c>
      <c r="U103" t="s">
        <v>131</v>
      </c>
      <c r="V103" t="s">
        <v>1268</v>
      </c>
    </row>
    <row r="104" spans="1:22" customFormat="1" x14ac:dyDescent="0.3">
      <c r="A104" s="3" t="str">
        <f t="shared" si="1"/>
        <v>MCQ_FR_FILE_TAXDEAD_037</v>
      </c>
      <c r="B104" t="s">
        <v>1304</v>
      </c>
      <c r="C104" t="s">
        <v>44</v>
      </c>
      <c r="D104" t="s">
        <v>1200</v>
      </c>
      <c r="E104" t="s">
        <v>18</v>
      </c>
      <c r="F104">
        <v>3</v>
      </c>
      <c r="G104" t="s">
        <v>16</v>
      </c>
      <c r="H104" t="s">
        <v>17</v>
      </c>
      <c r="I104" t="s">
        <v>1201</v>
      </c>
      <c r="J104" t="s">
        <v>1202</v>
      </c>
      <c r="K104">
        <v>1</v>
      </c>
      <c r="L104" t="s">
        <v>1303</v>
      </c>
      <c r="M104" s="3" t="str">
        <f>IF(B104="","","MCQ"&amp;"_"&amp;IFERROR(VLOOKUP(B104,LOOKUPS!$K$2:$L$10,2,FALSE),"UNK")&amp;"_"&amp;IFERROR(VLOOKUP(C104,LOOKUPS!$N$2:$O$10,2,FALSE),"UNK")&amp;"_"&amp;UPPER(L104))</f>
        <v>MCQ_FR_FILE_TAXDEAD</v>
      </c>
      <c r="N104" s="3">
        <f>IF(M104="","",COUNTIF($M$2:M104,M104))</f>
        <v>37</v>
      </c>
      <c r="O104" t="s">
        <v>1275</v>
      </c>
      <c r="P104" t="s">
        <v>1272</v>
      </c>
      <c r="Q104" t="s">
        <v>1274</v>
      </c>
      <c r="R104" t="s">
        <v>1276</v>
      </c>
      <c r="S104" t="s">
        <v>1277</v>
      </c>
      <c r="T104" t="s">
        <v>1270</v>
      </c>
      <c r="U104" t="s">
        <v>224</v>
      </c>
      <c r="V104" t="s">
        <v>1270</v>
      </c>
    </row>
    <row r="105" spans="1:22" customFormat="1" x14ac:dyDescent="0.3">
      <c r="A105" s="3" t="str">
        <f t="shared" si="1"/>
        <v>MCQ_FR_FILE_TAXDEAD_038</v>
      </c>
      <c r="B105" t="s">
        <v>1304</v>
      </c>
      <c r="C105" t="s">
        <v>44</v>
      </c>
      <c r="D105" t="s">
        <v>1200</v>
      </c>
      <c r="E105" t="s">
        <v>18</v>
      </c>
      <c r="F105">
        <v>3</v>
      </c>
      <c r="G105" t="s">
        <v>16</v>
      </c>
      <c r="H105" t="s">
        <v>17</v>
      </c>
      <c r="I105" t="s">
        <v>1201</v>
      </c>
      <c r="J105" t="s">
        <v>1202</v>
      </c>
      <c r="K105">
        <v>1</v>
      </c>
      <c r="L105" t="s">
        <v>1303</v>
      </c>
      <c r="M105" s="3" t="str">
        <f>IF(B105="","","MCQ"&amp;"_"&amp;IFERROR(VLOOKUP(B105,LOOKUPS!$K$2:$L$10,2,FALSE),"UNK")&amp;"_"&amp;IFERROR(VLOOKUP(C105,LOOKUPS!$N$2:$O$10,2,FALSE),"UNK")&amp;"_"&amp;UPPER(L105))</f>
        <v>MCQ_FR_FILE_TAXDEAD</v>
      </c>
      <c r="N105" s="3">
        <f>IF(M105="","",COUNTIF($M$2:M105,M105))</f>
        <v>38</v>
      </c>
      <c r="O105" t="s">
        <v>1275</v>
      </c>
      <c r="P105" t="s">
        <v>1276</v>
      </c>
      <c r="Q105" t="s">
        <v>1277</v>
      </c>
      <c r="R105" t="s">
        <v>1278</v>
      </c>
      <c r="S105" t="s">
        <v>1272</v>
      </c>
      <c r="T105" t="s">
        <v>1274</v>
      </c>
      <c r="U105" t="s">
        <v>226</v>
      </c>
      <c r="V105" t="s">
        <v>1272</v>
      </c>
    </row>
    <row r="106" spans="1:22" customFormat="1" x14ac:dyDescent="0.3">
      <c r="A106" s="3" t="str">
        <f t="shared" si="1"/>
        <v>MCQ_FR_FILE_TAXDEAD_039</v>
      </c>
      <c r="B106" t="s">
        <v>1304</v>
      </c>
      <c r="C106" t="s">
        <v>44</v>
      </c>
      <c r="D106" t="s">
        <v>1200</v>
      </c>
      <c r="E106" t="s">
        <v>18</v>
      </c>
      <c r="F106">
        <v>3</v>
      </c>
      <c r="G106" t="s">
        <v>16</v>
      </c>
      <c r="H106" t="s">
        <v>17</v>
      </c>
      <c r="I106" t="s">
        <v>1201</v>
      </c>
      <c r="J106" t="s">
        <v>1202</v>
      </c>
      <c r="K106">
        <v>1</v>
      </c>
      <c r="L106" t="s">
        <v>1303</v>
      </c>
      <c r="M106" s="3" t="str">
        <f>IF(B106="","","MCQ"&amp;"_"&amp;IFERROR(VLOOKUP(B106,LOOKUPS!$K$2:$L$10,2,FALSE),"UNK")&amp;"_"&amp;IFERROR(VLOOKUP(C106,LOOKUPS!$N$2:$O$10,2,FALSE),"UNK")&amp;"_"&amp;UPPER(L106))</f>
        <v>MCQ_FR_FILE_TAXDEAD</v>
      </c>
      <c r="N106" s="3">
        <f>IF(M106="","",COUNTIF($M$2:M106,M106))</f>
        <v>39</v>
      </c>
      <c r="O106" t="s">
        <v>1279</v>
      </c>
      <c r="P106" t="s">
        <v>1278</v>
      </c>
      <c r="Q106" t="s">
        <v>1280</v>
      </c>
      <c r="R106" t="s">
        <v>1274</v>
      </c>
      <c r="S106" t="s">
        <v>1276</v>
      </c>
      <c r="T106" t="s">
        <v>1277</v>
      </c>
      <c r="U106" t="s">
        <v>223</v>
      </c>
      <c r="V106" t="s">
        <v>1274</v>
      </c>
    </row>
    <row r="107" spans="1:22" customFormat="1" x14ac:dyDescent="0.3">
      <c r="A107" s="3" t="str">
        <f t="shared" si="1"/>
        <v>MCQ_FR_FILE_TAXDEAD_040</v>
      </c>
      <c r="B107" t="s">
        <v>1304</v>
      </c>
      <c r="C107" t="s">
        <v>44</v>
      </c>
      <c r="D107" t="s">
        <v>1200</v>
      </c>
      <c r="E107" t="s">
        <v>18</v>
      </c>
      <c r="F107">
        <v>3</v>
      </c>
      <c r="G107" t="s">
        <v>16</v>
      </c>
      <c r="H107" t="s">
        <v>17</v>
      </c>
      <c r="I107" t="s">
        <v>1201</v>
      </c>
      <c r="J107" t="s">
        <v>1202</v>
      </c>
      <c r="K107">
        <v>1</v>
      </c>
      <c r="L107" t="s">
        <v>1303</v>
      </c>
      <c r="M107" s="3" t="str">
        <f>IF(B107="","","MCQ"&amp;"_"&amp;IFERROR(VLOOKUP(B107,LOOKUPS!$K$2:$L$10,2,FALSE),"UNK")&amp;"_"&amp;IFERROR(VLOOKUP(C107,LOOKUPS!$N$2:$O$10,2,FALSE),"UNK")&amp;"_"&amp;UPPER(L107))</f>
        <v>MCQ_FR_FILE_TAXDEAD</v>
      </c>
      <c r="N107" s="3">
        <f>IF(M107="","",COUNTIF($M$2:M107,M107))</f>
        <v>40</v>
      </c>
      <c r="O107" t="s">
        <v>1279</v>
      </c>
      <c r="P107" t="s">
        <v>1281</v>
      </c>
      <c r="Q107" t="s">
        <v>1276</v>
      </c>
      <c r="R107" t="s">
        <v>1277</v>
      </c>
      <c r="S107" t="s">
        <v>1278</v>
      </c>
      <c r="T107" t="s">
        <v>1280</v>
      </c>
      <c r="U107" t="s">
        <v>225</v>
      </c>
      <c r="V107" t="s">
        <v>1276</v>
      </c>
    </row>
    <row r="108" spans="1:22" customFormat="1" x14ac:dyDescent="0.3">
      <c r="A108" s="3" t="str">
        <f t="shared" si="1"/>
        <v>MCQ_FR_FILE_TAXDEAD_041</v>
      </c>
      <c r="B108" t="s">
        <v>1304</v>
      </c>
      <c r="C108" t="s">
        <v>44</v>
      </c>
      <c r="D108" t="s">
        <v>1200</v>
      </c>
      <c r="E108" t="s">
        <v>18</v>
      </c>
      <c r="F108">
        <v>3</v>
      </c>
      <c r="G108" t="s">
        <v>16</v>
      </c>
      <c r="H108" t="s">
        <v>17</v>
      </c>
      <c r="I108" t="s">
        <v>1201</v>
      </c>
      <c r="J108" t="s">
        <v>1202</v>
      </c>
      <c r="K108">
        <v>1</v>
      </c>
      <c r="L108" t="s">
        <v>1303</v>
      </c>
      <c r="M108" s="3" t="str">
        <f>IF(B108="","","MCQ"&amp;"_"&amp;IFERROR(VLOOKUP(B108,LOOKUPS!$K$2:$L$10,2,FALSE),"UNK")&amp;"_"&amp;IFERROR(VLOOKUP(C108,LOOKUPS!$N$2:$O$10,2,FALSE),"UNK")&amp;"_"&amp;UPPER(L108))</f>
        <v>MCQ_FR_FILE_TAXDEAD</v>
      </c>
      <c r="N108" s="3">
        <f>IF(M108="","",COUNTIF($M$2:M108,M108))</f>
        <v>41</v>
      </c>
      <c r="O108" t="s">
        <v>1279</v>
      </c>
      <c r="P108" t="s">
        <v>1277</v>
      </c>
      <c r="Q108" t="s">
        <v>1278</v>
      </c>
      <c r="R108" t="s">
        <v>1280</v>
      </c>
      <c r="S108" t="s">
        <v>1281</v>
      </c>
      <c r="T108" t="s">
        <v>1282</v>
      </c>
      <c r="U108" t="s">
        <v>131</v>
      </c>
      <c r="V108" t="s">
        <v>1277</v>
      </c>
    </row>
    <row r="109" spans="1:22" customFormat="1" x14ac:dyDescent="0.3">
      <c r="A109" s="3" t="str">
        <f t="shared" si="1"/>
        <v>MCQ_FR_FILE_TAXDEAD_042</v>
      </c>
      <c r="B109" t="s">
        <v>1304</v>
      </c>
      <c r="C109" t="s">
        <v>44</v>
      </c>
      <c r="D109" t="s">
        <v>1200</v>
      </c>
      <c r="E109" t="s">
        <v>18</v>
      </c>
      <c r="F109">
        <v>3</v>
      </c>
      <c r="G109" t="s">
        <v>16</v>
      </c>
      <c r="H109" t="s">
        <v>17</v>
      </c>
      <c r="I109" t="s">
        <v>1201</v>
      </c>
      <c r="J109" t="s">
        <v>1202</v>
      </c>
      <c r="K109">
        <v>1</v>
      </c>
      <c r="L109" t="s">
        <v>1303</v>
      </c>
      <c r="M109" s="3" t="str">
        <f>IF(B109="","","MCQ"&amp;"_"&amp;IFERROR(VLOOKUP(B109,LOOKUPS!$K$2:$L$10,2,FALSE),"UNK")&amp;"_"&amp;IFERROR(VLOOKUP(C109,LOOKUPS!$N$2:$O$10,2,FALSE),"UNK")&amp;"_"&amp;UPPER(L109))</f>
        <v>MCQ_FR_FILE_TAXDEAD</v>
      </c>
      <c r="N109" s="3">
        <f>IF(M109="","",COUNTIF($M$2:M109,M109))</f>
        <v>42</v>
      </c>
      <c r="O109" t="s">
        <v>1283</v>
      </c>
      <c r="P109" t="s">
        <v>1280</v>
      </c>
      <c r="Q109" t="s">
        <v>1281</v>
      </c>
      <c r="R109" t="s">
        <v>1282</v>
      </c>
      <c r="S109" t="s">
        <v>1284</v>
      </c>
      <c r="T109" t="s">
        <v>1278</v>
      </c>
      <c r="U109" t="s">
        <v>224</v>
      </c>
      <c r="V109" t="s">
        <v>1278</v>
      </c>
    </row>
    <row r="110" spans="1:22" customFormat="1" x14ac:dyDescent="0.3">
      <c r="A110" s="3" t="str">
        <f t="shared" si="1"/>
        <v>MCQ_FR_FILE_TAXDEAD_043</v>
      </c>
      <c r="B110" t="s">
        <v>1304</v>
      </c>
      <c r="C110" t="s">
        <v>44</v>
      </c>
      <c r="D110" t="s">
        <v>1200</v>
      </c>
      <c r="E110" t="s">
        <v>18</v>
      </c>
      <c r="F110">
        <v>3</v>
      </c>
      <c r="G110" t="s">
        <v>16</v>
      </c>
      <c r="H110" t="s">
        <v>17</v>
      </c>
      <c r="I110" t="s">
        <v>1201</v>
      </c>
      <c r="J110" t="s">
        <v>1202</v>
      </c>
      <c r="K110">
        <v>1</v>
      </c>
      <c r="L110" t="s">
        <v>1303</v>
      </c>
      <c r="M110" s="3" t="str">
        <f>IF(B110="","","MCQ"&amp;"_"&amp;IFERROR(VLOOKUP(B110,LOOKUPS!$K$2:$L$10,2,FALSE),"UNK")&amp;"_"&amp;IFERROR(VLOOKUP(C110,LOOKUPS!$N$2:$O$10,2,FALSE),"UNK")&amp;"_"&amp;UPPER(L110))</f>
        <v>MCQ_FR_FILE_TAXDEAD</v>
      </c>
      <c r="N110" s="3">
        <f>IF(M110="","",COUNTIF($M$2:M110,M110))</f>
        <v>43</v>
      </c>
      <c r="O110" t="s">
        <v>1283</v>
      </c>
      <c r="P110" t="s">
        <v>1282</v>
      </c>
      <c r="Q110" t="s">
        <v>1284</v>
      </c>
      <c r="R110" t="s">
        <v>1285</v>
      </c>
      <c r="S110" t="s">
        <v>1280</v>
      </c>
      <c r="T110" t="s">
        <v>1281</v>
      </c>
      <c r="U110" t="s">
        <v>226</v>
      </c>
      <c r="V110" t="s">
        <v>1280</v>
      </c>
    </row>
    <row r="111" spans="1:22" customFormat="1" x14ac:dyDescent="0.3">
      <c r="A111" s="3" t="str">
        <f t="shared" si="1"/>
        <v>MCQ_FR_FILE_TAXDEAD_044</v>
      </c>
      <c r="B111" t="s">
        <v>1304</v>
      </c>
      <c r="C111" t="s">
        <v>44</v>
      </c>
      <c r="D111" t="s">
        <v>1200</v>
      </c>
      <c r="E111" t="s">
        <v>18</v>
      </c>
      <c r="F111">
        <v>3</v>
      </c>
      <c r="G111" t="s">
        <v>16</v>
      </c>
      <c r="H111" t="s">
        <v>17</v>
      </c>
      <c r="I111" t="s">
        <v>1201</v>
      </c>
      <c r="J111" t="s">
        <v>1202</v>
      </c>
      <c r="K111">
        <v>1</v>
      </c>
      <c r="L111" t="s">
        <v>1303</v>
      </c>
      <c r="M111" s="3" t="str">
        <f>IF(B111="","","MCQ"&amp;"_"&amp;IFERROR(VLOOKUP(B111,LOOKUPS!$K$2:$L$10,2,FALSE),"UNK")&amp;"_"&amp;IFERROR(VLOOKUP(C111,LOOKUPS!$N$2:$O$10,2,FALSE),"UNK")&amp;"_"&amp;UPPER(L111))</f>
        <v>MCQ_FR_FILE_TAXDEAD</v>
      </c>
      <c r="N111" s="3">
        <f>IF(M111="","",COUNTIF($M$2:M111,M111))</f>
        <v>44</v>
      </c>
      <c r="O111" t="s">
        <v>1283</v>
      </c>
      <c r="P111" t="s">
        <v>1285</v>
      </c>
      <c r="Q111" t="s">
        <v>1286</v>
      </c>
      <c r="R111" t="s">
        <v>1281</v>
      </c>
      <c r="S111" t="s">
        <v>1282</v>
      </c>
      <c r="T111" t="s">
        <v>1284</v>
      </c>
      <c r="U111" t="s">
        <v>223</v>
      </c>
      <c r="V111" t="s">
        <v>1281</v>
      </c>
    </row>
    <row r="112" spans="1:22" customFormat="1" x14ac:dyDescent="0.3">
      <c r="A112" s="3" t="str">
        <f t="shared" si="1"/>
        <v>MCQ_FR_FILE_TAXDEAD_045</v>
      </c>
      <c r="B112" t="s">
        <v>1304</v>
      </c>
      <c r="C112" t="s">
        <v>44</v>
      </c>
      <c r="D112" t="s">
        <v>1200</v>
      </c>
      <c r="E112" t="s">
        <v>18</v>
      </c>
      <c r="F112">
        <v>3</v>
      </c>
      <c r="G112" t="s">
        <v>16</v>
      </c>
      <c r="H112" t="s">
        <v>17</v>
      </c>
      <c r="I112" t="s">
        <v>1201</v>
      </c>
      <c r="J112" t="s">
        <v>1202</v>
      </c>
      <c r="K112">
        <v>1</v>
      </c>
      <c r="L112" t="s">
        <v>1303</v>
      </c>
      <c r="M112" s="3" t="str">
        <f>IF(B112="","","MCQ"&amp;"_"&amp;IFERROR(VLOOKUP(B112,LOOKUPS!$K$2:$L$10,2,FALSE),"UNK")&amp;"_"&amp;IFERROR(VLOOKUP(C112,LOOKUPS!$N$2:$O$10,2,FALSE),"UNK")&amp;"_"&amp;UPPER(L112))</f>
        <v>MCQ_FR_FILE_TAXDEAD</v>
      </c>
      <c r="N112" s="3">
        <f>IF(M112="","",COUNTIF($M$2:M112,M112))</f>
        <v>45</v>
      </c>
      <c r="O112" t="s">
        <v>1283</v>
      </c>
      <c r="P112" t="s">
        <v>1287</v>
      </c>
      <c r="Q112" t="s">
        <v>1282</v>
      </c>
      <c r="R112" t="s">
        <v>1284</v>
      </c>
      <c r="S112" t="s">
        <v>1285</v>
      </c>
      <c r="T112" t="s">
        <v>1286</v>
      </c>
      <c r="U112" t="s">
        <v>225</v>
      </c>
      <c r="V112" t="s">
        <v>1282</v>
      </c>
    </row>
    <row r="113" spans="1:22" customFormat="1" x14ac:dyDescent="0.3">
      <c r="A113" s="3" t="str">
        <f t="shared" si="1"/>
        <v>MCQ_FR_FILE_TAXDEAD_046</v>
      </c>
      <c r="B113" t="s">
        <v>1304</v>
      </c>
      <c r="C113" t="s">
        <v>44</v>
      </c>
      <c r="D113" t="s">
        <v>1200</v>
      </c>
      <c r="E113" t="s">
        <v>18</v>
      </c>
      <c r="F113">
        <v>3</v>
      </c>
      <c r="G113" t="s">
        <v>16</v>
      </c>
      <c r="H113" t="s">
        <v>17</v>
      </c>
      <c r="I113" t="s">
        <v>1201</v>
      </c>
      <c r="J113" t="s">
        <v>1202</v>
      </c>
      <c r="K113">
        <v>1</v>
      </c>
      <c r="L113" t="s">
        <v>1303</v>
      </c>
      <c r="M113" s="3" t="str">
        <f>IF(B113="","","MCQ"&amp;"_"&amp;IFERROR(VLOOKUP(B113,LOOKUPS!$K$2:$L$10,2,FALSE),"UNK")&amp;"_"&amp;IFERROR(VLOOKUP(C113,LOOKUPS!$N$2:$O$10,2,FALSE),"UNK")&amp;"_"&amp;UPPER(L113))</f>
        <v>MCQ_FR_FILE_TAXDEAD</v>
      </c>
      <c r="N113" s="3">
        <f>IF(M113="","",COUNTIF($M$2:M113,M113))</f>
        <v>46</v>
      </c>
      <c r="O113" t="s">
        <v>1283</v>
      </c>
      <c r="P113" t="s">
        <v>1284</v>
      </c>
      <c r="Q113" t="s">
        <v>1285</v>
      </c>
      <c r="R113" t="s">
        <v>1286</v>
      </c>
      <c r="S113" t="s">
        <v>1287</v>
      </c>
      <c r="T113" t="s">
        <v>1288</v>
      </c>
      <c r="U113" t="s">
        <v>131</v>
      </c>
      <c r="V113" t="s">
        <v>1284</v>
      </c>
    </row>
    <row r="114" spans="1:22" customFormat="1" x14ac:dyDescent="0.3">
      <c r="A114" s="3" t="str">
        <f t="shared" si="1"/>
        <v>MCQ_FR_FILE_TAXDEAD_047</v>
      </c>
      <c r="B114" t="s">
        <v>1304</v>
      </c>
      <c r="C114" t="s">
        <v>44</v>
      </c>
      <c r="D114" t="s">
        <v>1200</v>
      </c>
      <c r="E114" t="s">
        <v>18</v>
      </c>
      <c r="F114">
        <v>3</v>
      </c>
      <c r="G114" t="s">
        <v>16</v>
      </c>
      <c r="H114" t="s">
        <v>17</v>
      </c>
      <c r="I114" t="s">
        <v>1201</v>
      </c>
      <c r="J114" t="s">
        <v>1202</v>
      </c>
      <c r="K114">
        <v>1</v>
      </c>
      <c r="L114" t="s">
        <v>1303</v>
      </c>
      <c r="M114" s="3" t="str">
        <f>IF(B114="","","MCQ"&amp;"_"&amp;IFERROR(VLOOKUP(B114,LOOKUPS!$K$2:$L$10,2,FALSE),"UNK")&amp;"_"&amp;IFERROR(VLOOKUP(C114,LOOKUPS!$N$2:$O$10,2,FALSE),"UNK")&amp;"_"&amp;UPPER(L114))</f>
        <v>MCQ_FR_FILE_TAXDEAD</v>
      </c>
      <c r="N114" s="3">
        <f>IF(M114="","",COUNTIF($M$2:M114,M114))</f>
        <v>47</v>
      </c>
      <c r="O114" t="s">
        <v>1289</v>
      </c>
      <c r="P114" t="s">
        <v>1286</v>
      </c>
      <c r="Q114" t="s">
        <v>1287</v>
      </c>
      <c r="R114" t="s">
        <v>1288</v>
      </c>
      <c r="S114" t="s">
        <v>1290</v>
      </c>
      <c r="T114" t="s">
        <v>1285</v>
      </c>
      <c r="U114" t="s">
        <v>224</v>
      </c>
      <c r="V114" t="s">
        <v>1285</v>
      </c>
    </row>
    <row r="115" spans="1:22" customFormat="1" x14ac:dyDescent="0.3">
      <c r="A115" s="3" t="str">
        <f t="shared" si="1"/>
        <v>MCQ_FR_FILE_TAXDEAD_048</v>
      </c>
      <c r="B115" t="s">
        <v>1304</v>
      </c>
      <c r="C115" t="s">
        <v>44</v>
      </c>
      <c r="D115" t="s">
        <v>1200</v>
      </c>
      <c r="E115" t="s">
        <v>18</v>
      </c>
      <c r="F115">
        <v>3</v>
      </c>
      <c r="G115" t="s">
        <v>16</v>
      </c>
      <c r="H115" t="s">
        <v>17</v>
      </c>
      <c r="I115" t="s">
        <v>1201</v>
      </c>
      <c r="J115" t="s">
        <v>1202</v>
      </c>
      <c r="K115">
        <v>1</v>
      </c>
      <c r="L115" t="s">
        <v>1303</v>
      </c>
      <c r="M115" s="3" t="str">
        <f>IF(B115="","","MCQ"&amp;"_"&amp;IFERROR(VLOOKUP(B115,LOOKUPS!$K$2:$L$10,2,FALSE),"UNK")&amp;"_"&amp;IFERROR(VLOOKUP(C115,LOOKUPS!$N$2:$O$10,2,FALSE),"UNK")&amp;"_"&amp;UPPER(L115))</f>
        <v>MCQ_FR_FILE_TAXDEAD</v>
      </c>
      <c r="N115" s="3">
        <f>IF(M115="","",COUNTIF($M$2:M115,M115))</f>
        <v>48</v>
      </c>
      <c r="O115" t="s">
        <v>1291</v>
      </c>
      <c r="P115" t="s">
        <v>1288</v>
      </c>
      <c r="Q115" t="s">
        <v>1290</v>
      </c>
      <c r="R115" t="s">
        <v>1292</v>
      </c>
      <c r="S115" t="s">
        <v>1286</v>
      </c>
      <c r="T115" t="s">
        <v>1287</v>
      </c>
      <c r="U115" t="s">
        <v>226</v>
      </c>
      <c r="V115" t="s">
        <v>1286</v>
      </c>
    </row>
    <row r="116" spans="1:22" customFormat="1" x14ac:dyDescent="0.3">
      <c r="A116" s="3" t="str">
        <f t="shared" si="1"/>
        <v>MCQ_FR_FILE_TAXDEAD_049</v>
      </c>
      <c r="B116" t="s">
        <v>1304</v>
      </c>
      <c r="C116" t="s">
        <v>44</v>
      </c>
      <c r="D116" t="s">
        <v>1200</v>
      </c>
      <c r="E116" t="s">
        <v>18</v>
      </c>
      <c r="F116">
        <v>3</v>
      </c>
      <c r="G116" t="s">
        <v>16</v>
      </c>
      <c r="H116" t="s">
        <v>17</v>
      </c>
      <c r="I116" t="s">
        <v>1201</v>
      </c>
      <c r="J116" t="s">
        <v>1202</v>
      </c>
      <c r="K116">
        <v>1</v>
      </c>
      <c r="L116" t="s">
        <v>1303</v>
      </c>
      <c r="M116" s="3" t="str">
        <f>IF(B116="","","MCQ"&amp;"_"&amp;IFERROR(VLOOKUP(B116,LOOKUPS!$K$2:$L$10,2,FALSE),"UNK")&amp;"_"&amp;IFERROR(VLOOKUP(C116,LOOKUPS!$N$2:$O$10,2,FALSE),"UNK")&amp;"_"&amp;UPPER(L116))</f>
        <v>MCQ_FR_FILE_TAXDEAD</v>
      </c>
      <c r="N116" s="3">
        <f>IF(M116="","",COUNTIF($M$2:M116,M116))</f>
        <v>49</v>
      </c>
      <c r="O116" t="s">
        <v>1293</v>
      </c>
      <c r="P116" t="s">
        <v>1292</v>
      </c>
      <c r="Q116" t="s">
        <v>1294</v>
      </c>
      <c r="R116" t="s">
        <v>1287</v>
      </c>
      <c r="S116" t="s">
        <v>1288</v>
      </c>
      <c r="T116" t="s">
        <v>1290</v>
      </c>
      <c r="U116" t="s">
        <v>223</v>
      </c>
      <c r="V116" t="s">
        <v>1287</v>
      </c>
    </row>
    <row r="117" spans="1:22" customFormat="1" x14ac:dyDescent="0.3">
      <c r="A117" s="3" t="str">
        <f t="shared" si="1"/>
        <v>MCQ_FR_FILE_TAXDEAD_050</v>
      </c>
      <c r="B117" t="s">
        <v>1304</v>
      </c>
      <c r="C117" t="s">
        <v>44</v>
      </c>
      <c r="D117" t="s">
        <v>1200</v>
      </c>
      <c r="E117" t="s">
        <v>18</v>
      </c>
      <c r="F117">
        <v>3</v>
      </c>
      <c r="G117" t="s">
        <v>16</v>
      </c>
      <c r="H117" t="s">
        <v>17</v>
      </c>
      <c r="I117" t="s">
        <v>1201</v>
      </c>
      <c r="J117" t="s">
        <v>1202</v>
      </c>
      <c r="K117">
        <v>1</v>
      </c>
      <c r="L117" t="s">
        <v>1303</v>
      </c>
      <c r="M117" s="3" t="str">
        <f>IF(B117="","","MCQ"&amp;"_"&amp;IFERROR(VLOOKUP(B117,LOOKUPS!$K$2:$L$10,2,FALSE),"UNK")&amp;"_"&amp;IFERROR(VLOOKUP(C117,LOOKUPS!$N$2:$O$10,2,FALSE),"UNK")&amp;"_"&amp;UPPER(L117))</f>
        <v>MCQ_FR_FILE_TAXDEAD</v>
      </c>
      <c r="N117" s="3">
        <f>IF(M117="","",COUNTIF($M$2:M117,M117))</f>
        <v>50</v>
      </c>
      <c r="O117" t="s">
        <v>1295</v>
      </c>
      <c r="P117" t="s">
        <v>1296</v>
      </c>
      <c r="Q117" t="s">
        <v>1288</v>
      </c>
      <c r="R117" t="s">
        <v>1290</v>
      </c>
      <c r="S117" t="s">
        <v>1292</v>
      </c>
      <c r="T117" t="s">
        <v>1294</v>
      </c>
      <c r="U117" t="s">
        <v>225</v>
      </c>
      <c r="V117" t="s">
        <v>1288</v>
      </c>
    </row>
    <row r="118" spans="1:22" customFormat="1" x14ac:dyDescent="0.3">
      <c r="A118" s="3" t="str">
        <f t="shared" si="1"/>
        <v>MCQ_FR_FILE_TAXDEAD_051</v>
      </c>
      <c r="B118" t="s">
        <v>1304</v>
      </c>
      <c r="C118" t="s">
        <v>44</v>
      </c>
      <c r="D118" t="s">
        <v>1200</v>
      </c>
      <c r="E118" t="s">
        <v>18</v>
      </c>
      <c r="F118">
        <v>3</v>
      </c>
      <c r="G118" t="s">
        <v>16</v>
      </c>
      <c r="H118" t="s">
        <v>17</v>
      </c>
      <c r="I118" t="s">
        <v>1201</v>
      </c>
      <c r="J118" t="s">
        <v>1202</v>
      </c>
      <c r="K118">
        <v>1</v>
      </c>
      <c r="L118" t="s">
        <v>1303</v>
      </c>
      <c r="M118" s="3" t="str">
        <f>IF(B118="","","MCQ"&amp;"_"&amp;IFERROR(VLOOKUP(B118,LOOKUPS!$K$2:$L$10,2,FALSE),"UNK")&amp;"_"&amp;IFERROR(VLOOKUP(C118,LOOKUPS!$N$2:$O$10,2,FALSE),"UNK")&amp;"_"&amp;UPPER(L118))</f>
        <v>MCQ_FR_FILE_TAXDEAD</v>
      </c>
      <c r="N118" s="3">
        <f>IF(M118="","",COUNTIF($M$2:M118,M118))</f>
        <v>51</v>
      </c>
      <c r="O118" t="s">
        <v>1297</v>
      </c>
      <c r="P118" t="s">
        <v>1290</v>
      </c>
      <c r="Q118" t="s">
        <v>1292</v>
      </c>
      <c r="R118" t="s">
        <v>1294</v>
      </c>
      <c r="S118" t="s">
        <v>1296</v>
      </c>
      <c r="T118" t="s">
        <v>1298</v>
      </c>
      <c r="U118" t="s">
        <v>131</v>
      </c>
      <c r="V118" t="s">
        <v>1290</v>
      </c>
    </row>
    <row r="119" spans="1:22" customFormat="1" x14ac:dyDescent="0.3">
      <c r="A119" s="3" t="str">
        <f t="shared" si="1"/>
        <v>MCQ_FR_FILE_TAXDEAD_052</v>
      </c>
      <c r="B119" t="s">
        <v>1304</v>
      </c>
      <c r="C119" t="s">
        <v>44</v>
      </c>
      <c r="D119" t="s">
        <v>1200</v>
      </c>
      <c r="E119" t="s">
        <v>18</v>
      </c>
      <c r="F119">
        <v>3</v>
      </c>
      <c r="G119" t="s">
        <v>16</v>
      </c>
      <c r="H119" t="s">
        <v>17</v>
      </c>
      <c r="I119" t="s">
        <v>1201</v>
      </c>
      <c r="J119" t="s">
        <v>1202</v>
      </c>
      <c r="K119">
        <v>1</v>
      </c>
      <c r="L119" t="s">
        <v>1303</v>
      </c>
      <c r="M119" s="3" t="str">
        <f>IF(B119="","","MCQ"&amp;"_"&amp;IFERROR(VLOOKUP(B119,LOOKUPS!$K$2:$L$10,2,FALSE),"UNK")&amp;"_"&amp;IFERROR(VLOOKUP(C119,LOOKUPS!$N$2:$O$10,2,FALSE),"UNK")&amp;"_"&amp;UPPER(L119))</f>
        <v>MCQ_FR_FILE_TAXDEAD</v>
      </c>
      <c r="N119" s="3">
        <f>IF(M119="","",COUNTIF($M$2:M119,M119))</f>
        <v>52</v>
      </c>
      <c r="O119" t="s">
        <v>1299</v>
      </c>
      <c r="P119" t="s">
        <v>1294</v>
      </c>
      <c r="Q119" t="s">
        <v>1296</v>
      </c>
      <c r="R119" t="s">
        <v>1298</v>
      </c>
      <c r="S119" t="s">
        <v>1300</v>
      </c>
      <c r="T119" t="s">
        <v>1292</v>
      </c>
      <c r="U119" t="s">
        <v>224</v>
      </c>
      <c r="V119" t="s">
        <v>1292</v>
      </c>
    </row>
    <row r="120" spans="1:22" customFormat="1" x14ac:dyDescent="0.3">
      <c r="A120" s="3" t="str">
        <f t="shared" si="1"/>
        <v>MCQ_FR_FILE_TAXDEAD_053</v>
      </c>
      <c r="B120" t="s">
        <v>1304</v>
      </c>
      <c r="C120" t="s">
        <v>44</v>
      </c>
      <c r="D120" t="s">
        <v>1200</v>
      </c>
      <c r="E120" t="s">
        <v>18</v>
      </c>
      <c r="F120">
        <v>3</v>
      </c>
      <c r="G120" t="s">
        <v>16</v>
      </c>
      <c r="H120" t="s">
        <v>17</v>
      </c>
      <c r="I120" t="s">
        <v>1201</v>
      </c>
      <c r="J120" t="s">
        <v>1202</v>
      </c>
      <c r="K120">
        <v>1</v>
      </c>
      <c r="L120" t="s">
        <v>1303</v>
      </c>
      <c r="M120" s="3" t="str">
        <f>IF(B120="","","MCQ"&amp;"_"&amp;IFERROR(VLOOKUP(B120,LOOKUPS!$K$2:$L$10,2,FALSE),"UNK")&amp;"_"&amp;IFERROR(VLOOKUP(C120,LOOKUPS!$N$2:$O$10,2,FALSE),"UNK")&amp;"_"&amp;UPPER(L120))</f>
        <v>MCQ_FR_FILE_TAXDEAD</v>
      </c>
      <c r="N120" s="3">
        <f>IF(M120="","",COUNTIF($M$2:M120,M120))</f>
        <v>53</v>
      </c>
      <c r="O120" t="s">
        <v>1301</v>
      </c>
      <c r="P120" t="s">
        <v>1298</v>
      </c>
      <c r="Q120" t="s">
        <v>1300</v>
      </c>
      <c r="R120" t="s">
        <v>1204</v>
      </c>
      <c r="S120" t="s">
        <v>1294</v>
      </c>
      <c r="T120" t="s">
        <v>1296</v>
      </c>
      <c r="U120" t="s">
        <v>226</v>
      </c>
      <c r="V120" t="s">
        <v>1294</v>
      </c>
    </row>
    <row r="121" spans="1:22" customFormat="1" x14ac:dyDescent="0.3">
      <c r="A121" s="3" t="str">
        <f t="shared" si="1"/>
        <v>MCQ_FR_FILE_TAXDEAD_054</v>
      </c>
      <c r="B121" t="s">
        <v>1304</v>
      </c>
      <c r="C121" t="s">
        <v>44</v>
      </c>
      <c r="D121" t="s">
        <v>1200</v>
      </c>
      <c r="E121" t="s">
        <v>18</v>
      </c>
      <c r="F121">
        <v>3</v>
      </c>
      <c r="G121" t="s">
        <v>16</v>
      </c>
      <c r="H121" t="s">
        <v>17</v>
      </c>
      <c r="I121" t="s">
        <v>1201</v>
      </c>
      <c r="J121" t="s">
        <v>1202</v>
      </c>
      <c r="K121">
        <v>1</v>
      </c>
      <c r="L121" t="s">
        <v>1303</v>
      </c>
      <c r="M121" s="3" t="str">
        <f>IF(B121="","","MCQ"&amp;"_"&amp;IFERROR(VLOOKUP(B121,LOOKUPS!$K$2:$L$10,2,FALSE),"UNK")&amp;"_"&amp;IFERROR(VLOOKUP(C121,LOOKUPS!$N$2:$O$10,2,FALSE),"UNK")&amp;"_"&amp;UPPER(L121))</f>
        <v>MCQ_FR_FILE_TAXDEAD</v>
      </c>
      <c r="N121" s="3">
        <f>IF(M121="","",COUNTIF($M$2:M121,M121))</f>
        <v>54</v>
      </c>
      <c r="O121" t="s">
        <v>1302</v>
      </c>
      <c r="P121" t="s">
        <v>1204</v>
      </c>
      <c r="Q121" t="s">
        <v>1205</v>
      </c>
      <c r="R121" t="s">
        <v>1296</v>
      </c>
      <c r="S121" t="s">
        <v>1298</v>
      </c>
      <c r="T121" t="s">
        <v>1300</v>
      </c>
      <c r="U121" t="s">
        <v>223</v>
      </c>
      <c r="V121" t="s">
        <v>1296</v>
      </c>
    </row>
    <row r="122" spans="1:22" customFormat="1" x14ac:dyDescent="0.3">
      <c r="A122" s="3" t="str">
        <f t="shared" si="1"/>
        <v>MCQ_FR_FILE_TAXDEAD_055</v>
      </c>
      <c r="B122" t="s">
        <v>1304</v>
      </c>
      <c r="C122" t="s">
        <v>44</v>
      </c>
      <c r="D122" t="s">
        <v>1200</v>
      </c>
      <c r="E122" t="s">
        <v>18</v>
      </c>
      <c r="F122">
        <v>3</v>
      </c>
      <c r="G122" t="s">
        <v>16</v>
      </c>
      <c r="H122" t="s">
        <v>17</v>
      </c>
      <c r="I122" t="s">
        <v>1201</v>
      </c>
      <c r="J122" t="s">
        <v>1202</v>
      </c>
      <c r="K122">
        <v>1</v>
      </c>
      <c r="L122" t="s">
        <v>1303</v>
      </c>
      <c r="M122" s="3" t="str">
        <f>IF(B122="","","MCQ"&amp;"_"&amp;IFERROR(VLOOKUP(B122,LOOKUPS!$K$2:$L$10,2,FALSE),"UNK")&amp;"_"&amp;IFERROR(VLOOKUP(C122,LOOKUPS!$N$2:$O$10,2,FALSE),"UNK")&amp;"_"&amp;UPPER(L122))</f>
        <v>MCQ_FR_FILE_TAXDEAD</v>
      </c>
      <c r="N122" s="3">
        <f>IF(M122="","",COUNTIF($M$2:M122,M122))</f>
        <v>55</v>
      </c>
      <c r="O122" t="s">
        <v>1241</v>
      </c>
      <c r="P122" t="s">
        <v>1206</v>
      </c>
      <c r="Q122" t="s">
        <v>1298</v>
      </c>
      <c r="R122" t="s">
        <v>1300</v>
      </c>
      <c r="S122" t="s">
        <v>1204</v>
      </c>
      <c r="T122" t="s">
        <v>1205</v>
      </c>
      <c r="U122" t="s">
        <v>225</v>
      </c>
      <c r="V122" t="s">
        <v>1298</v>
      </c>
    </row>
    <row r="123" spans="1:22" customFormat="1" x14ac:dyDescent="0.3">
      <c r="A123" s="3" t="str">
        <f t="shared" si="1"/>
        <v>MCQ_FR_FILE_TAXDEAD_056</v>
      </c>
      <c r="B123" t="s">
        <v>1304</v>
      </c>
      <c r="C123" t="s">
        <v>44</v>
      </c>
      <c r="D123" t="s">
        <v>1200</v>
      </c>
      <c r="E123" t="s">
        <v>18</v>
      </c>
      <c r="F123">
        <v>3</v>
      </c>
      <c r="G123" t="s">
        <v>16</v>
      </c>
      <c r="H123" t="s">
        <v>17</v>
      </c>
      <c r="I123" t="s">
        <v>1201</v>
      </c>
      <c r="J123" t="s">
        <v>1202</v>
      </c>
      <c r="K123">
        <v>1</v>
      </c>
      <c r="L123" t="s">
        <v>1303</v>
      </c>
      <c r="M123" s="3" t="str">
        <f>IF(B123="","","MCQ"&amp;"_"&amp;IFERROR(VLOOKUP(B123,LOOKUPS!$K$2:$L$10,2,FALSE),"UNK")&amp;"_"&amp;IFERROR(VLOOKUP(C123,LOOKUPS!$N$2:$O$10,2,FALSE),"UNK")&amp;"_"&amp;UPPER(L123))</f>
        <v>MCQ_FR_FILE_TAXDEAD</v>
      </c>
      <c r="N123" s="3">
        <f>IF(M123="","",COUNTIF($M$2:M123,M123))</f>
        <v>56</v>
      </c>
      <c r="O123" t="s">
        <v>1239</v>
      </c>
      <c r="P123" t="s">
        <v>1300</v>
      </c>
      <c r="Q123" t="s">
        <v>1204</v>
      </c>
      <c r="R123" t="s">
        <v>1205</v>
      </c>
      <c r="S123" t="s">
        <v>1206</v>
      </c>
      <c r="T123" t="s">
        <v>1207</v>
      </c>
      <c r="U123" t="s">
        <v>131</v>
      </c>
      <c r="V123" t="s">
        <v>1300</v>
      </c>
    </row>
    <row r="124" spans="1:22" x14ac:dyDescent="0.3">
      <c r="A124" s="3"/>
      <c r="B124"/>
      <c r="C124"/>
      <c r="D124" s="3"/>
      <c r="E124" s="3"/>
      <c r="F124" s="3"/>
      <c r="G124" s="3"/>
      <c r="H124" s="3"/>
      <c r="I124" s="3"/>
      <c r="J124" s="3"/>
      <c r="K124" s="3"/>
      <c r="L124" s="3"/>
      <c r="M124" s="3"/>
      <c r="N124" s="3"/>
      <c r="O124" s="3"/>
      <c r="P124" s="3"/>
      <c r="Q124" s="3"/>
      <c r="R124" s="3"/>
      <c r="S124" s="3"/>
      <c r="T124" s="3"/>
      <c r="U124" s="3"/>
      <c r="V124" s="3"/>
    </row>
    <row r="125" spans="1:22" x14ac:dyDescent="0.3">
      <c r="A125" s="3"/>
      <c r="B125"/>
      <c r="C125"/>
      <c r="D125" s="3"/>
      <c r="E125" s="3"/>
      <c r="F125" s="3"/>
      <c r="G125" s="3"/>
      <c r="H125" s="3"/>
      <c r="I125" s="3"/>
      <c r="J125" s="3"/>
      <c r="K125" s="3"/>
      <c r="L125" s="3"/>
      <c r="M125" s="3"/>
      <c r="N125" s="3"/>
      <c r="O125" s="3"/>
      <c r="P125" s="3"/>
      <c r="Q125" s="3"/>
      <c r="R125" s="3"/>
      <c r="S125" s="3"/>
      <c r="T125" s="3"/>
      <c r="U125" s="3"/>
      <c r="V125" s="3"/>
    </row>
    <row r="126" spans="1:22" x14ac:dyDescent="0.3">
      <c r="A126" s="3"/>
      <c r="B126"/>
      <c r="C126"/>
      <c r="D126" s="3"/>
      <c r="E126" s="3"/>
      <c r="F126" s="3"/>
      <c r="G126" s="3"/>
      <c r="H126" s="3"/>
      <c r="I126" s="3"/>
      <c r="J126" s="3"/>
      <c r="K126" s="3"/>
      <c r="L126" s="3"/>
      <c r="M126" s="3"/>
      <c r="N126" s="3"/>
      <c r="O126" s="3"/>
      <c r="P126" s="3"/>
      <c r="Q126" s="3"/>
      <c r="R126" s="3"/>
      <c r="S126" s="3"/>
      <c r="T126" s="3"/>
      <c r="U126" s="3"/>
      <c r="V126" s="3"/>
    </row>
    <row r="127" spans="1:22" x14ac:dyDescent="0.3">
      <c r="A127" s="3"/>
      <c r="B127"/>
      <c r="C127"/>
      <c r="D127" s="3"/>
      <c r="E127" s="3"/>
      <c r="F127" s="3"/>
      <c r="G127" s="3"/>
      <c r="H127" s="3"/>
      <c r="I127" s="3"/>
      <c r="J127" s="3"/>
      <c r="K127" s="3"/>
      <c r="L127" s="3"/>
      <c r="M127" s="3"/>
      <c r="N127" s="3"/>
      <c r="O127" s="3"/>
      <c r="P127" s="3"/>
      <c r="Q127" s="3"/>
      <c r="R127" s="3"/>
      <c r="S127" s="3"/>
      <c r="T127" s="3"/>
      <c r="U127" s="3"/>
      <c r="V127" s="3"/>
    </row>
    <row r="128" spans="1:22" x14ac:dyDescent="0.3">
      <c r="A128" s="3"/>
      <c r="B128"/>
      <c r="C128"/>
      <c r="D128" s="3"/>
      <c r="E128" s="3"/>
      <c r="F128" s="3"/>
      <c r="G128" s="3"/>
      <c r="H128" s="3"/>
      <c r="I128" s="3"/>
      <c r="J128" s="3"/>
      <c r="K128" s="3"/>
      <c r="L128" s="3"/>
      <c r="M128" s="3"/>
      <c r="N128" s="3"/>
      <c r="O128" s="3"/>
      <c r="P128" s="3"/>
      <c r="Q128" s="3"/>
      <c r="R128" s="3"/>
      <c r="S128" s="3"/>
      <c r="T128" s="3"/>
      <c r="U128" s="3"/>
      <c r="V128" s="3"/>
    </row>
    <row r="129" spans="1:22" x14ac:dyDescent="0.3">
      <c r="A129" s="3"/>
      <c r="B129"/>
      <c r="C129"/>
      <c r="D129" s="3"/>
      <c r="E129" s="3"/>
      <c r="F129" s="3"/>
      <c r="G129" s="3"/>
      <c r="H129" s="3"/>
      <c r="I129" s="3"/>
      <c r="J129" s="3"/>
      <c r="K129" s="3"/>
      <c r="L129" s="3"/>
      <c r="M129" s="3"/>
      <c r="N129" s="3"/>
      <c r="O129" s="3"/>
      <c r="P129" s="3"/>
      <c r="Q129" s="3"/>
      <c r="R129" s="3"/>
      <c r="S129" s="3"/>
      <c r="T129" s="3"/>
      <c r="U129" s="3"/>
      <c r="V129" s="3"/>
    </row>
    <row r="130" spans="1:22" x14ac:dyDescent="0.3">
      <c r="A130" s="3"/>
      <c r="B130"/>
      <c r="C130"/>
      <c r="D130" s="3"/>
      <c r="E130" s="3"/>
      <c r="F130" s="3"/>
      <c r="G130" s="3"/>
      <c r="H130" s="3"/>
      <c r="I130" s="3"/>
      <c r="J130" s="3"/>
      <c r="K130" s="3"/>
      <c r="L130" s="3"/>
      <c r="M130" s="3"/>
      <c r="N130" s="3"/>
      <c r="O130" s="3"/>
      <c r="P130" s="3"/>
      <c r="Q130" s="3"/>
      <c r="R130" s="3"/>
      <c r="S130" s="3"/>
      <c r="T130" s="3"/>
      <c r="U130" s="3"/>
      <c r="V130" s="3"/>
    </row>
    <row r="131" spans="1:22" x14ac:dyDescent="0.3">
      <c r="A131" s="3"/>
      <c r="B131"/>
      <c r="C131"/>
      <c r="D131" s="3"/>
      <c r="E131" s="3"/>
      <c r="F131" s="3"/>
      <c r="G131" s="3"/>
      <c r="H131" s="3"/>
      <c r="I131" s="3"/>
      <c r="J131" s="3"/>
      <c r="K131" s="3"/>
      <c r="L131" s="3"/>
      <c r="M131" s="3"/>
      <c r="N131" s="3"/>
      <c r="O131" s="3"/>
      <c r="P131" s="3"/>
      <c r="Q131" s="3"/>
      <c r="R131" s="3"/>
      <c r="S131" s="3"/>
      <c r="T131" s="3"/>
      <c r="U131" s="3"/>
      <c r="V131" s="3"/>
    </row>
    <row r="132" spans="1:22" x14ac:dyDescent="0.3">
      <c r="A132" s="3"/>
      <c r="B132"/>
      <c r="C132"/>
      <c r="D132" s="3"/>
      <c r="E132" s="3"/>
      <c r="F132" s="3"/>
      <c r="G132" s="3"/>
      <c r="H132" s="3"/>
      <c r="I132" s="3"/>
      <c r="J132" s="3"/>
      <c r="K132" s="3"/>
      <c r="L132" s="3"/>
      <c r="M132" s="3"/>
      <c r="N132" s="3"/>
      <c r="O132" s="3"/>
      <c r="P132" s="3"/>
      <c r="Q132" s="3"/>
      <c r="R132" s="3"/>
      <c r="S132" s="3"/>
      <c r="T132" s="3"/>
      <c r="U132" s="3"/>
      <c r="V132" s="3"/>
    </row>
    <row r="133" spans="1:22" x14ac:dyDescent="0.3">
      <c r="A133" s="3"/>
      <c r="B133"/>
      <c r="C133"/>
      <c r="D133" s="3"/>
      <c r="E133" s="3"/>
      <c r="F133" s="3"/>
      <c r="G133" s="3"/>
      <c r="H133" s="3"/>
      <c r="I133" s="3"/>
      <c r="J133" s="3"/>
      <c r="K133" s="3"/>
      <c r="L133" s="3"/>
      <c r="M133" s="3"/>
      <c r="N133" s="3"/>
      <c r="O133" s="3"/>
      <c r="P133" s="3"/>
      <c r="Q133" s="3"/>
      <c r="R133" s="3"/>
      <c r="S133" s="3"/>
      <c r="T133" s="3"/>
      <c r="U133" s="3"/>
      <c r="V133" s="3"/>
    </row>
    <row r="134" spans="1:22" x14ac:dyDescent="0.3">
      <c r="A134" s="3"/>
      <c r="B134"/>
      <c r="C134"/>
      <c r="D134" s="3"/>
      <c r="E134" s="3"/>
      <c r="F134" s="3"/>
      <c r="G134" s="3"/>
      <c r="H134" s="3"/>
      <c r="I134" s="3"/>
      <c r="J134" s="3"/>
      <c r="K134" s="3"/>
      <c r="L134" s="3"/>
      <c r="M134" s="3"/>
      <c r="N134" s="3"/>
      <c r="O134" s="3"/>
      <c r="P134" s="3"/>
      <c r="Q134" s="3"/>
      <c r="R134" s="3"/>
      <c r="S134" s="3"/>
      <c r="T134" s="3"/>
      <c r="U134" s="3"/>
      <c r="V134" s="3"/>
    </row>
    <row r="135" spans="1:22" x14ac:dyDescent="0.3">
      <c r="A135" s="3"/>
      <c r="B135"/>
      <c r="C135"/>
      <c r="D135" s="3"/>
      <c r="E135" s="3"/>
      <c r="F135" s="3"/>
      <c r="G135" s="3"/>
      <c r="H135" s="3"/>
      <c r="I135" s="3"/>
      <c r="J135" s="3"/>
      <c r="K135" s="3"/>
      <c r="L135" s="3"/>
      <c r="M135" s="3"/>
      <c r="N135" s="3"/>
      <c r="O135" s="3"/>
      <c r="P135" s="3"/>
      <c r="Q135" s="3"/>
      <c r="R135" s="3"/>
      <c r="S135" s="3"/>
      <c r="T135" s="3"/>
      <c r="U135" s="3"/>
      <c r="V135" s="3"/>
    </row>
    <row r="136" spans="1:22" x14ac:dyDescent="0.3">
      <c r="A136" s="3"/>
      <c r="B136"/>
      <c r="C136"/>
      <c r="D136" s="3"/>
      <c r="E136" s="3"/>
      <c r="F136" s="3"/>
      <c r="G136" s="3"/>
      <c r="H136" s="3"/>
      <c r="I136" s="3"/>
      <c r="J136" s="3"/>
      <c r="K136" s="3"/>
      <c r="L136" s="3"/>
      <c r="M136" s="3"/>
      <c r="N136" s="3"/>
      <c r="O136" s="3"/>
      <c r="P136" s="3"/>
      <c r="Q136" s="3"/>
      <c r="R136" s="3"/>
      <c r="S136" s="3"/>
      <c r="T136" s="3"/>
      <c r="U136" s="3"/>
      <c r="V136" s="3"/>
    </row>
    <row r="137" spans="1:22" x14ac:dyDescent="0.3">
      <c r="A137" s="3"/>
      <c r="B137"/>
      <c r="C137"/>
      <c r="D137" s="3"/>
      <c r="E137" s="3"/>
      <c r="F137" s="3"/>
      <c r="G137" s="3"/>
      <c r="H137" s="3"/>
      <c r="I137" s="3"/>
      <c r="J137" s="3"/>
      <c r="K137" s="3"/>
      <c r="L137" s="3"/>
      <c r="M137" s="3"/>
      <c r="N137" s="3"/>
      <c r="O137" s="3"/>
      <c r="P137" s="3"/>
      <c r="Q137" s="3"/>
      <c r="R137" s="3"/>
      <c r="S137" s="3"/>
      <c r="T137" s="3"/>
      <c r="U137" s="3"/>
      <c r="V137" s="3"/>
    </row>
    <row r="138" spans="1:22" x14ac:dyDescent="0.3">
      <c r="A138" s="3"/>
      <c r="B138"/>
      <c r="C138"/>
      <c r="D138" s="3"/>
      <c r="E138" s="3"/>
      <c r="F138" s="3"/>
      <c r="G138" s="3"/>
      <c r="H138" s="3"/>
      <c r="I138" s="3"/>
      <c r="J138" s="3"/>
      <c r="K138" s="3"/>
      <c r="L138" s="3"/>
      <c r="M138" s="3"/>
      <c r="N138" s="3"/>
      <c r="O138" s="3"/>
      <c r="P138" s="3"/>
      <c r="Q138" s="3"/>
      <c r="R138" s="3"/>
      <c r="S138" s="3"/>
      <c r="T138" s="3"/>
      <c r="U138" s="3"/>
      <c r="V138" s="3"/>
    </row>
    <row r="139" spans="1:22" x14ac:dyDescent="0.3">
      <c r="A139" s="3"/>
      <c r="B139"/>
      <c r="C139"/>
      <c r="D139" s="3"/>
      <c r="E139" s="3"/>
      <c r="F139" s="3"/>
      <c r="G139" s="3"/>
      <c r="H139" s="3"/>
      <c r="I139" s="3"/>
      <c r="J139" s="3"/>
      <c r="K139" s="3"/>
      <c r="L139" s="3"/>
      <c r="M139" s="3"/>
      <c r="N139" s="3"/>
      <c r="O139" s="3"/>
      <c r="P139" s="3"/>
      <c r="Q139" s="3"/>
      <c r="R139" s="3"/>
      <c r="S139" s="3"/>
      <c r="T139" s="3"/>
      <c r="U139" s="3"/>
      <c r="V139" s="3"/>
    </row>
    <row r="140" spans="1:22" x14ac:dyDescent="0.3">
      <c r="A140" s="3"/>
      <c r="B140"/>
      <c r="C140"/>
      <c r="D140" s="3"/>
      <c r="E140" s="3"/>
      <c r="F140" s="3"/>
      <c r="G140" s="3"/>
      <c r="H140" s="3"/>
      <c r="I140" s="3"/>
      <c r="J140" s="3"/>
      <c r="K140" s="3"/>
      <c r="L140" s="3"/>
      <c r="M140" s="3"/>
      <c r="N140" s="3"/>
      <c r="O140" s="3"/>
      <c r="P140" s="3"/>
      <c r="Q140" s="3"/>
      <c r="R140" s="3"/>
      <c r="S140" s="3"/>
      <c r="T140" s="3"/>
      <c r="U140" s="3"/>
      <c r="V140" s="3"/>
    </row>
    <row r="141" spans="1:22" x14ac:dyDescent="0.3">
      <c r="A141" s="3"/>
      <c r="B141"/>
      <c r="C141"/>
      <c r="D141" s="3"/>
      <c r="E141" s="3"/>
      <c r="F141" s="3"/>
      <c r="G141" s="3"/>
      <c r="H141" s="3"/>
      <c r="I141" s="3"/>
      <c r="J141" s="3"/>
      <c r="K141" s="3"/>
      <c r="L141" s="3"/>
      <c r="M141" s="3"/>
      <c r="N141" s="3"/>
      <c r="O141" s="3"/>
      <c r="P141" s="3"/>
      <c r="Q141" s="3"/>
      <c r="R141" s="3"/>
      <c r="S141" s="3"/>
      <c r="T141" s="3"/>
      <c r="U141" s="3"/>
      <c r="V141" s="3"/>
    </row>
    <row r="142" spans="1:22" x14ac:dyDescent="0.3">
      <c r="A142" s="3"/>
      <c r="B142"/>
      <c r="C142"/>
      <c r="D142" s="3"/>
      <c r="E142" s="3"/>
      <c r="F142" s="3"/>
      <c r="G142" s="3"/>
      <c r="H142" s="3"/>
      <c r="I142" s="3"/>
      <c r="J142" s="3"/>
      <c r="K142" s="3"/>
      <c r="L142" s="3"/>
      <c r="M142" s="3"/>
      <c r="N142" s="3"/>
      <c r="O142" s="3"/>
      <c r="P142" s="3"/>
      <c r="Q142" s="3"/>
      <c r="R142" s="3"/>
      <c r="S142" s="3"/>
      <c r="T142" s="3"/>
      <c r="U142" s="3"/>
      <c r="V142" s="3"/>
    </row>
    <row r="143" spans="1:22" x14ac:dyDescent="0.3">
      <c r="A143" s="3"/>
      <c r="B143"/>
      <c r="C143"/>
      <c r="D143" s="3"/>
      <c r="E143" s="3"/>
      <c r="F143" s="3"/>
      <c r="G143" s="3"/>
      <c r="H143" s="3"/>
      <c r="I143" s="3"/>
      <c r="J143" s="3"/>
      <c r="K143" s="3"/>
      <c r="L143" s="3"/>
      <c r="M143" s="3"/>
      <c r="N143" s="3"/>
      <c r="O143" s="3"/>
      <c r="P143" s="3"/>
      <c r="Q143" s="3"/>
      <c r="R143" s="3"/>
      <c r="S143" s="3"/>
      <c r="T143" s="3"/>
      <c r="U143" s="3"/>
      <c r="V143" s="3"/>
    </row>
    <row r="144" spans="1:22" x14ac:dyDescent="0.3">
      <c r="A144" s="3"/>
      <c r="B144"/>
      <c r="C144"/>
      <c r="D144" s="3"/>
      <c r="E144" s="3"/>
      <c r="F144" s="3"/>
      <c r="G144" s="3"/>
      <c r="H144" s="3"/>
      <c r="I144" s="3"/>
      <c r="J144" s="3"/>
      <c r="K144" s="3"/>
      <c r="L144" s="3"/>
      <c r="M144" s="3"/>
      <c r="N144" s="3"/>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59 F68: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E2:E59 E68:E1000</xm:sqref>
        </x14:dataValidation>
        <x14:dataValidation type="list" allowBlank="1" xr:uid="{836BB6B3-8678-4D79-8930-499300C974CF}">
          <x14:formula1>
            <xm:f>LOOKUPS!$E$2:$E$4</xm:f>
          </x14:formula1>
          <xm:sqref>G2:G59 G68:G144</xm:sqref>
        </x14:dataValidation>
        <x14:dataValidation type="list" allowBlank="1" xr:uid="{8986DABE-1E00-4CA3-A4DA-EB7AB1A288EF}">
          <x14:formula1>
            <xm:f>LOOKUPS!$G$2:$G$3</xm:f>
          </x14:formula1>
          <xm:sqref>H2:H59 H68:H144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C2:C59 C68:C144</xm:sqref>
        </x14:dataValidation>
        <x14:dataValidation type="list" allowBlank="1" showDropDown="1" xr:uid="{00000000-0002-0000-0200-000000000000}">
          <x14:formula1>
            <xm:f>LOOKUPS!$A$2:$A$10</xm:f>
          </x14:formula1>
          <xm:sqref>B145:B1000</xm:sqref>
        </x14:dataValidation>
        <x14:dataValidation type="list" allowBlank="1" xr:uid="{63E79027-D239-4E0A-BBFF-F2933BA25C41}">
          <x14:formula1>
            <xm:f>LOOKUPS!$A$2:$A$10</xm:f>
          </x14:formula1>
          <xm:sqref>B2:B59 B68:B144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A43" workbookViewId="0">
      <pane xSplit="4" topLeftCell="M1" activePane="topRight" state="frozen"/>
      <selection pane="topRight" activeCell="O48" sqref="O48"/>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815</v>
      </c>
      <c r="E2" t="s">
        <v>25</v>
      </c>
      <c r="F2">
        <v>3</v>
      </c>
      <c r="G2">
        <v>0</v>
      </c>
      <c r="H2" t="s">
        <v>17</v>
      </c>
      <c r="I2" t="s">
        <v>317</v>
      </c>
      <c r="J2" t="s">
        <v>318</v>
      </c>
      <c r="K2">
        <v>1</v>
      </c>
      <c r="L2" t="s">
        <v>319</v>
      </c>
      <c r="M2" s="3" t="str">
        <f>IF(B2="","","AB"&amp;"_"&amp;IFERROR(VLOOKUP(B2,LOOKUPS!$K$2:$L$10,2,FALSE),"UNK")&amp;"_"&amp;IFERROR(VLOOKUP(C2,LOOKUPS!$N$2:$O$10,2,FALSE),"UNK")&amp;"_"&amp;UPPER(L2))</f>
        <v>AB_ITNIC_REQ_INVSCHEME</v>
      </c>
      <c r="N2" s="3">
        <f>IF(M2="","",COUNTIF($M$2:M2,M2))</f>
        <v>1</v>
      </c>
      <c r="O2" s="6" t="s">
        <v>678</v>
      </c>
      <c r="P2">
        <v>2</v>
      </c>
      <c r="Q2" t="s">
        <v>320</v>
      </c>
      <c r="R2" s="4">
        <v>1000000</v>
      </c>
      <c r="S2" t="s">
        <v>131</v>
      </c>
      <c r="T2" t="s">
        <v>17</v>
      </c>
      <c r="U2" s="5" t="s">
        <v>225</v>
      </c>
      <c r="V2" t="s">
        <v>17</v>
      </c>
      <c r="X2" s="4"/>
      <c r="AA2" s="5"/>
      <c r="AC2" t="s">
        <v>321</v>
      </c>
    </row>
    <row r="3" spans="1:29" ht="57.6" x14ac:dyDescent="0.3">
      <c r="A3" s="3" t="str">
        <f t="shared" si="0"/>
        <v>AB_ITNIC_REQ_INVSCHEME_002</v>
      </c>
      <c r="B3" t="s">
        <v>21</v>
      </c>
      <c r="C3" t="s">
        <v>22</v>
      </c>
      <c r="D3" s="6" t="s">
        <v>815</v>
      </c>
      <c r="E3" t="s">
        <v>25</v>
      </c>
      <c r="F3">
        <v>3</v>
      </c>
      <c r="G3">
        <v>0</v>
      </c>
      <c r="H3" t="s">
        <v>17</v>
      </c>
      <c r="I3" t="s">
        <v>322</v>
      </c>
      <c r="J3" t="s">
        <v>318</v>
      </c>
      <c r="K3">
        <v>1</v>
      </c>
      <c r="L3" t="s">
        <v>319</v>
      </c>
      <c r="M3" s="3" t="str">
        <f>IF(B3="","","AB"&amp;"_"&amp;IFERROR(VLOOKUP(B3,LOOKUPS!$K$2:$L$10,2,FALSE),"UNK")&amp;"_"&amp;IFERROR(VLOOKUP(C3,LOOKUPS!$N$2:$O$10,2,FALSE),"UNK")&amp;"_"&amp;UPPER(L3))</f>
        <v>AB_ITNIC_REQ_INVSCHEME</v>
      </c>
      <c r="N3" s="3">
        <f>IF(M3="","",COUNTIF($M$2:M3,M3))</f>
        <v>2</v>
      </c>
      <c r="O3" s="6" t="s">
        <v>679</v>
      </c>
      <c r="P3">
        <v>2</v>
      </c>
      <c r="Q3" s="5">
        <v>0.3</v>
      </c>
      <c r="R3" t="s">
        <v>323</v>
      </c>
      <c r="S3" t="s">
        <v>225</v>
      </c>
      <c r="T3" t="s">
        <v>17</v>
      </c>
      <c r="U3" t="s">
        <v>131</v>
      </c>
      <c r="V3" t="s">
        <v>17</v>
      </c>
      <c r="AC3" t="s">
        <v>324</v>
      </c>
    </row>
    <row r="4" spans="1:29" ht="57.6" x14ac:dyDescent="0.3">
      <c r="A4" s="3" t="str">
        <f t="shared" si="0"/>
        <v>AB_ITNIC_REQ_INVSCHEME_003</v>
      </c>
      <c r="B4" t="s">
        <v>21</v>
      </c>
      <c r="C4" t="s">
        <v>22</v>
      </c>
      <c r="D4" s="6" t="s">
        <v>815</v>
      </c>
      <c r="E4" t="s">
        <v>25</v>
      </c>
      <c r="F4">
        <v>3</v>
      </c>
      <c r="G4">
        <v>0</v>
      </c>
      <c r="H4" t="s">
        <v>17</v>
      </c>
      <c r="I4" t="s">
        <v>325</v>
      </c>
      <c r="J4" t="s">
        <v>318</v>
      </c>
      <c r="K4">
        <v>1</v>
      </c>
      <c r="L4" t="s">
        <v>319</v>
      </c>
      <c r="M4" s="3" t="str">
        <f>IF(B4="","","AB"&amp;"_"&amp;IFERROR(VLOOKUP(B4,LOOKUPS!$K$2:$L$10,2,FALSE),"UNK")&amp;"_"&amp;IFERROR(VLOOKUP(C4,LOOKUPS!$N$2:$O$10,2,FALSE),"UNK")&amp;"_"&amp;UPPER(L4))</f>
        <v>AB_ITNIC_REQ_INVSCHEME</v>
      </c>
      <c r="N4" s="3">
        <f>IF(M4="","",COUNTIF($M$2:M4,M4))</f>
        <v>3</v>
      </c>
      <c r="O4" s="6" t="s">
        <v>680</v>
      </c>
      <c r="P4">
        <v>2</v>
      </c>
      <c r="Q4" s="5">
        <v>0.3</v>
      </c>
      <c r="R4" t="s">
        <v>326</v>
      </c>
      <c r="S4" t="s">
        <v>225</v>
      </c>
      <c r="T4" t="s">
        <v>17</v>
      </c>
      <c r="U4" t="s">
        <v>131</v>
      </c>
      <c r="V4" t="s">
        <v>17</v>
      </c>
      <c r="AC4" t="s">
        <v>327</v>
      </c>
    </row>
    <row r="5" spans="1:29" ht="57.6" x14ac:dyDescent="0.3">
      <c r="A5" s="3" t="str">
        <f t="shared" si="0"/>
        <v>AB_ITNIC_REQ_INVSCHEME_004</v>
      </c>
      <c r="B5" t="s">
        <v>21</v>
      </c>
      <c r="C5" t="s">
        <v>22</v>
      </c>
      <c r="D5" s="6" t="s">
        <v>815</v>
      </c>
      <c r="E5" t="s">
        <v>25</v>
      </c>
      <c r="F5">
        <v>3</v>
      </c>
      <c r="G5">
        <v>0</v>
      </c>
      <c r="H5" t="s">
        <v>17</v>
      </c>
      <c r="I5" t="s">
        <v>328</v>
      </c>
      <c r="J5" t="s">
        <v>318</v>
      </c>
      <c r="K5">
        <v>1</v>
      </c>
      <c r="L5" t="s">
        <v>319</v>
      </c>
      <c r="M5" s="3" t="str">
        <f>IF(B5="","","AB"&amp;"_"&amp;IFERROR(VLOOKUP(B5,LOOKUPS!$K$2:$L$10,2,FALSE),"UNK")&amp;"_"&amp;IFERROR(VLOOKUP(C5,LOOKUPS!$N$2:$O$10,2,FALSE),"UNK")&amp;"_"&amp;UPPER(L5))</f>
        <v>AB_ITNIC_REQ_INVSCHEME</v>
      </c>
      <c r="N5" s="3">
        <f>IF(M5="","",COUNTIF($M$2:M5,M5))</f>
        <v>4</v>
      </c>
      <c r="O5" s="6" t="s">
        <v>681</v>
      </c>
      <c r="P5">
        <v>2</v>
      </c>
      <c r="Q5" t="s">
        <v>329</v>
      </c>
      <c r="R5" t="s">
        <v>330</v>
      </c>
      <c r="S5" t="s">
        <v>225</v>
      </c>
      <c r="T5" t="s">
        <v>17</v>
      </c>
      <c r="U5" t="s">
        <v>131</v>
      </c>
      <c r="V5" t="s">
        <v>17</v>
      </c>
      <c r="AC5" t="s">
        <v>331</v>
      </c>
    </row>
    <row r="6" spans="1:29" ht="43.2" x14ac:dyDescent="0.3">
      <c r="A6" s="3" t="str">
        <f t="shared" si="0"/>
        <v>AB_ITNIC_REQ_INVSCHEME_005</v>
      </c>
      <c r="B6" t="s">
        <v>21</v>
      </c>
      <c r="C6" t="s">
        <v>22</v>
      </c>
      <c r="D6" s="6" t="s">
        <v>815</v>
      </c>
      <c r="E6" t="s">
        <v>25</v>
      </c>
      <c r="F6">
        <v>3</v>
      </c>
      <c r="G6">
        <v>0</v>
      </c>
      <c r="H6" t="s">
        <v>17</v>
      </c>
      <c r="I6" t="s">
        <v>332</v>
      </c>
      <c r="J6" t="s">
        <v>318</v>
      </c>
      <c r="K6">
        <v>1</v>
      </c>
      <c r="L6" t="s">
        <v>319</v>
      </c>
      <c r="M6" s="3" t="str">
        <f>IF(B6="","","AB"&amp;"_"&amp;IFERROR(VLOOKUP(B6,LOOKUPS!$K$2:$L$10,2,FALSE),"UNK")&amp;"_"&amp;IFERROR(VLOOKUP(C6,LOOKUPS!$N$2:$O$10,2,FALSE),"UNK")&amp;"_"&amp;UPPER(L6))</f>
        <v>AB_ITNIC_REQ_INVSCHEME</v>
      </c>
      <c r="N6" s="3">
        <f>IF(M6="","",COUNTIF($M$2:M6,M6))</f>
        <v>5</v>
      </c>
      <c r="O6" s="6" t="s">
        <v>671</v>
      </c>
      <c r="P6">
        <v>2</v>
      </c>
      <c r="Q6" s="5">
        <v>0.5</v>
      </c>
      <c r="R6" s="4">
        <v>200000</v>
      </c>
      <c r="S6" t="s">
        <v>225</v>
      </c>
      <c r="T6" t="s">
        <v>17</v>
      </c>
      <c r="U6" t="s">
        <v>131</v>
      </c>
      <c r="V6" t="s">
        <v>17</v>
      </c>
      <c r="AC6" t="s">
        <v>672</v>
      </c>
    </row>
    <row r="7" spans="1:29" ht="57.6" x14ac:dyDescent="0.3">
      <c r="A7" s="3" t="str">
        <f t="shared" si="0"/>
        <v>AB_ITNIC_REQ_INVSCHEME_006</v>
      </c>
      <c r="B7" t="s">
        <v>21</v>
      </c>
      <c r="C7" t="s">
        <v>22</v>
      </c>
      <c r="D7" s="6" t="s">
        <v>815</v>
      </c>
      <c r="E7" t="s">
        <v>25</v>
      </c>
      <c r="F7">
        <v>3</v>
      </c>
      <c r="G7">
        <v>0</v>
      </c>
      <c r="H7" t="s">
        <v>17</v>
      </c>
      <c r="I7" t="s">
        <v>333</v>
      </c>
      <c r="J7" t="s">
        <v>318</v>
      </c>
      <c r="K7">
        <v>1</v>
      </c>
      <c r="L7" t="s">
        <v>319</v>
      </c>
      <c r="M7" s="3" t="str">
        <f>IF(B7="","","AB"&amp;"_"&amp;IFERROR(VLOOKUP(B7,LOOKUPS!$K$2:$L$10,2,FALSE),"UNK")&amp;"_"&amp;IFERROR(VLOOKUP(C7,LOOKUPS!$N$2:$O$10,2,FALSE),"UNK")&amp;"_"&amp;UPPER(L7))</f>
        <v>AB_ITNIC_REQ_INVSCHEME</v>
      </c>
      <c r="N7" s="3">
        <f>IF(M7="","",COUNTIF($M$2:M7,M7))</f>
        <v>6</v>
      </c>
      <c r="O7" s="6" t="s">
        <v>673</v>
      </c>
      <c r="P7">
        <v>2</v>
      </c>
      <c r="Q7" t="s">
        <v>334</v>
      </c>
      <c r="R7" t="s">
        <v>674</v>
      </c>
      <c r="S7" t="s">
        <v>225</v>
      </c>
      <c r="T7" t="s">
        <v>17</v>
      </c>
      <c r="U7" t="s">
        <v>131</v>
      </c>
      <c r="V7" t="s">
        <v>17</v>
      </c>
      <c r="AC7" t="s">
        <v>335</v>
      </c>
    </row>
    <row r="8" spans="1:29" ht="57.6" x14ac:dyDescent="0.3">
      <c r="A8" s="3" t="str">
        <f t="shared" si="0"/>
        <v>AB_ITNIC_REQ_INVSCHEME_007</v>
      </c>
      <c r="B8" t="s">
        <v>21</v>
      </c>
      <c r="C8" t="s">
        <v>22</v>
      </c>
      <c r="D8" s="6" t="s">
        <v>815</v>
      </c>
      <c r="E8" t="s">
        <v>25</v>
      </c>
      <c r="F8">
        <v>3</v>
      </c>
      <c r="G8">
        <v>0</v>
      </c>
      <c r="H8" t="s">
        <v>17</v>
      </c>
      <c r="I8" t="s">
        <v>336</v>
      </c>
      <c r="J8" t="s">
        <v>318</v>
      </c>
      <c r="K8">
        <v>1</v>
      </c>
      <c r="L8" t="s">
        <v>319</v>
      </c>
      <c r="M8" s="3" t="str">
        <f>IF(B8="","","AB"&amp;"_"&amp;IFERROR(VLOOKUP(B8,LOOKUPS!$K$2:$L$10,2,FALSE),"UNK")&amp;"_"&amp;IFERROR(VLOOKUP(C8,LOOKUPS!$N$2:$O$10,2,FALSE),"UNK")&amp;"_"&amp;UPPER(L8))</f>
        <v>AB_ITNIC_REQ_INVSCHEME</v>
      </c>
      <c r="N8" s="3">
        <f>IF(M8="","",COUNTIF($M$2:M8,M8))</f>
        <v>7</v>
      </c>
      <c r="O8" s="6" t="s">
        <v>685</v>
      </c>
      <c r="P8">
        <v>2</v>
      </c>
      <c r="Q8">
        <v>30</v>
      </c>
      <c r="R8">
        <v>200000</v>
      </c>
      <c r="S8" t="s">
        <v>225</v>
      </c>
      <c r="T8" t="s">
        <v>17</v>
      </c>
      <c r="U8" t="s">
        <v>131</v>
      </c>
      <c r="V8" t="s">
        <v>17</v>
      </c>
      <c r="AC8" t="s">
        <v>686</v>
      </c>
    </row>
    <row r="9" spans="1:29" ht="43.2" x14ac:dyDescent="0.3">
      <c r="A9" s="3" t="str">
        <f t="shared" si="0"/>
        <v>AB_ITNIC_REQ_INVSCHEME_008</v>
      </c>
      <c r="B9" t="s">
        <v>21</v>
      </c>
      <c r="C9" t="s">
        <v>22</v>
      </c>
      <c r="D9" s="6" t="s">
        <v>815</v>
      </c>
      <c r="E9" t="s">
        <v>25</v>
      </c>
      <c r="F9">
        <v>3</v>
      </c>
      <c r="G9">
        <v>0</v>
      </c>
      <c r="H9" t="s">
        <v>17</v>
      </c>
      <c r="I9" t="s">
        <v>337</v>
      </c>
      <c r="J9" t="s">
        <v>318</v>
      </c>
      <c r="K9">
        <v>1</v>
      </c>
      <c r="L9" t="s">
        <v>319</v>
      </c>
      <c r="M9" s="3" t="str">
        <f>IF(B9="","","AB"&amp;"_"&amp;IFERROR(VLOOKUP(B9,LOOKUPS!$K$2:$L$10,2,FALSE),"UNK")&amp;"_"&amp;IFERROR(VLOOKUP(C9,LOOKUPS!$N$2:$O$10,2,FALSE),"UNK")&amp;"_"&amp;UPPER(L9))</f>
        <v>AB_ITNIC_REQ_INVSCHEME</v>
      </c>
      <c r="N9" s="3">
        <f>IF(M9="","",COUNTIF($M$2:M9,M9))</f>
        <v>8</v>
      </c>
      <c r="O9" s="6" t="s">
        <v>687</v>
      </c>
      <c r="P9">
        <v>2</v>
      </c>
      <c r="Q9" t="s">
        <v>181</v>
      </c>
      <c r="R9" t="s">
        <v>338</v>
      </c>
      <c r="S9" t="s">
        <v>225</v>
      </c>
      <c r="T9" t="s">
        <v>17</v>
      </c>
      <c r="U9" t="s">
        <v>131</v>
      </c>
      <c r="V9" t="s">
        <v>17</v>
      </c>
      <c r="AC9" t="s">
        <v>339</v>
      </c>
    </row>
    <row r="10" spans="1:29" ht="57.6" x14ac:dyDescent="0.3">
      <c r="A10" s="3" t="str">
        <f t="shared" si="0"/>
        <v>AB_ITNIC_REQ_INVSCHEME_009</v>
      </c>
      <c r="B10" t="s">
        <v>21</v>
      </c>
      <c r="C10" t="s">
        <v>22</v>
      </c>
      <c r="D10" s="6" t="s">
        <v>815</v>
      </c>
      <c r="E10" t="s">
        <v>25</v>
      </c>
      <c r="F10">
        <v>3</v>
      </c>
      <c r="G10">
        <v>0</v>
      </c>
      <c r="H10" t="s">
        <v>17</v>
      </c>
      <c r="I10" t="s">
        <v>340</v>
      </c>
      <c r="J10" t="s">
        <v>318</v>
      </c>
      <c r="K10">
        <v>1</v>
      </c>
      <c r="L10" t="s">
        <v>319</v>
      </c>
      <c r="M10" s="3" t="str">
        <f>IF(B10="","","AB"&amp;"_"&amp;IFERROR(VLOOKUP(B10,LOOKUPS!$K$2:$L$10,2,FALSE),"UNK")&amp;"_"&amp;IFERROR(VLOOKUP(C10,LOOKUPS!$N$2:$O$10,2,FALSE),"UNK")&amp;"_"&amp;UPPER(L10))</f>
        <v>AB_ITNIC_REQ_INVSCHEME</v>
      </c>
      <c r="N10" s="3">
        <f>IF(M10="","",COUNTIF($M$2:M10,M10))</f>
        <v>9</v>
      </c>
      <c r="O10" s="6" t="s">
        <v>682</v>
      </c>
      <c r="P10">
        <v>2</v>
      </c>
      <c r="Q10" t="s">
        <v>670</v>
      </c>
      <c r="R10" t="s">
        <v>341</v>
      </c>
      <c r="S10" t="s">
        <v>225</v>
      </c>
      <c r="T10" t="s">
        <v>17</v>
      </c>
      <c r="U10" t="s">
        <v>131</v>
      </c>
      <c r="V10" t="s">
        <v>17</v>
      </c>
      <c r="AC10" t="s">
        <v>342</v>
      </c>
    </row>
    <row r="11" spans="1:29" ht="43.2" x14ac:dyDescent="0.3">
      <c r="A11" s="3" t="str">
        <f t="shared" si="0"/>
        <v>AB_ITNIC_REQ_INVSCHEME_010</v>
      </c>
      <c r="B11" t="s">
        <v>21</v>
      </c>
      <c r="C11" t="s">
        <v>22</v>
      </c>
      <c r="D11" s="6" t="s">
        <v>815</v>
      </c>
      <c r="E11" t="s">
        <v>25</v>
      </c>
      <c r="F11">
        <v>3</v>
      </c>
      <c r="G11">
        <v>0</v>
      </c>
      <c r="H11" t="s">
        <v>17</v>
      </c>
      <c r="I11" t="s">
        <v>343</v>
      </c>
      <c r="J11" t="s">
        <v>318</v>
      </c>
      <c r="K11">
        <v>1</v>
      </c>
      <c r="L11" t="s">
        <v>319</v>
      </c>
      <c r="M11" s="3" t="str">
        <f>IF(B11="","","AB"&amp;"_"&amp;IFERROR(VLOOKUP(B11,LOOKUPS!$K$2:$L$10,2,FALSE),"UNK")&amp;"_"&amp;IFERROR(VLOOKUP(C11,LOOKUPS!$N$2:$O$10,2,FALSE),"UNK")&amp;"_"&amp;UPPER(L11))</f>
        <v>AB_ITNIC_REQ_INVSCHEME</v>
      </c>
      <c r="N11" s="3">
        <f>IF(M11="","",COUNTIF($M$2:M11,M11))</f>
        <v>10</v>
      </c>
      <c r="O11" s="6" t="s">
        <v>683</v>
      </c>
      <c r="P11">
        <v>2</v>
      </c>
      <c r="Q11" t="s">
        <v>344</v>
      </c>
      <c r="R11" t="s">
        <v>345</v>
      </c>
      <c r="S11" t="s">
        <v>225</v>
      </c>
      <c r="T11" t="s">
        <v>17</v>
      </c>
      <c r="U11" t="s">
        <v>131</v>
      </c>
      <c r="V11" t="s">
        <v>17</v>
      </c>
      <c r="AC11" t="s">
        <v>346</v>
      </c>
    </row>
    <row r="12" spans="1:29" ht="86.4" x14ac:dyDescent="0.3">
      <c r="A12" s="3" t="str">
        <f t="shared" si="0"/>
        <v>AB_ITNIC_REQ_INVSCHEME_011</v>
      </c>
      <c r="B12" t="s">
        <v>21</v>
      </c>
      <c r="C12" t="s">
        <v>22</v>
      </c>
      <c r="D12" s="6" t="s">
        <v>815</v>
      </c>
      <c r="E12" t="s">
        <v>25</v>
      </c>
      <c r="F12">
        <v>3</v>
      </c>
      <c r="G12">
        <v>0</v>
      </c>
      <c r="H12" t="s">
        <v>17</v>
      </c>
      <c r="I12" t="s">
        <v>347</v>
      </c>
      <c r="J12" t="s">
        <v>318</v>
      </c>
      <c r="K12">
        <v>1</v>
      </c>
      <c r="L12" t="s">
        <v>319</v>
      </c>
      <c r="M12" s="3" t="str">
        <f>IF(B12="","","AB"&amp;"_"&amp;IFERROR(VLOOKUP(B12,LOOKUPS!$K$2:$L$10,2,FALSE),"UNK")&amp;"_"&amp;IFERROR(VLOOKUP(C12,LOOKUPS!$N$2:$O$10,2,FALSE),"UNK")&amp;"_"&amp;UPPER(L12))</f>
        <v>AB_ITNIC_REQ_INVSCHEME</v>
      </c>
      <c r="N12" s="3">
        <f>IF(M12="","",COUNTIF($M$2:M12,M12))</f>
        <v>11</v>
      </c>
      <c r="O12" s="6" t="s">
        <v>675</v>
      </c>
      <c r="P12">
        <v>2</v>
      </c>
      <c r="Q12" t="s">
        <v>348</v>
      </c>
      <c r="R12" t="s">
        <v>344</v>
      </c>
      <c r="S12" t="s">
        <v>131</v>
      </c>
      <c r="T12" t="s">
        <v>17</v>
      </c>
      <c r="U12" t="s">
        <v>225</v>
      </c>
      <c r="V12" t="s">
        <v>17</v>
      </c>
      <c r="AC12" t="s">
        <v>349</v>
      </c>
    </row>
    <row r="13" spans="1:29" ht="57.6" x14ac:dyDescent="0.3">
      <c r="A13" s="3" t="str">
        <f t="shared" si="0"/>
        <v>AB_ITNIC_REQ_INVSCHEME_012</v>
      </c>
      <c r="B13" t="s">
        <v>21</v>
      </c>
      <c r="C13" t="s">
        <v>22</v>
      </c>
      <c r="D13" s="6" t="s">
        <v>815</v>
      </c>
      <c r="E13" t="s">
        <v>25</v>
      </c>
      <c r="F13">
        <v>3</v>
      </c>
      <c r="G13">
        <v>0</v>
      </c>
      <c r="H13" t="s">
        <v>17</v>
      </c>
      <c r="I13" t="s">
        <v>350</v>
      </c>
      <c r="J13" t="s">
        <v>318</v>
      </c>
      <c r="K13">
        <v>1</v>
      </c>
      <c r="L13" t="s">
        <v>319</v>
      </c>
      <c r="M13" s="3" t="str">
        <f>IF(B13="","","AB"&amp;"_"&amp;IFERROR(VLOOKUP(B13,LOOKUPS!$K$2:$L$10,2,FALSE),"UNK")&amp;"_"&amp;IFERROR(VLOOKUP(C13,LOOKUPS!$N$2:$O$10,2,FALSE),"UNK")&amp;"_"&amp;UPPER(L13))</f>
        <v>AB_ITNIC_REQ_INVSCHEME</v>
      </c>
      <c r="N13" s="3">
        <f>IF(M13="","",COUNTIF($M$2:M13,M13))</f>
        <v>12</v>
      </c>
      <c r="O13" s="6" t="s">
        <v>684</v>
      </c>
      <c r="P13">
        <v>2</v>
      </c>
      <c r="Q13" t="s">
        <v>330</v>
      </c>
      <c r="R13" s="8">
        <v>47879</v>
      </c>
      <c r="S13" t="s">
        <v>225</v>
      </c>
      <c r="T13" t="s">
        <v>17</v>
      </c>
      <c r="U13" t="s">
        <v>131</v>
      </c>
      <c r="V13" t="s">
        <v>17</v>
      </c>
      <c r="AC13" t="s">
        <v>351</v>
      </c>
    </row>
    <row r="14" spans="1:29" ht="28.8" x14ac:dyDescent="0.3">
      <c r="A14" s="3" t="str">
        <f t="shared" si="0"/>
        <v>AB_ITNIC_REQ_EMPSHARESCHEME_001</v>
      </c>
      <c r="B14" s="3" t="s">
        <v>21</v>
      </c>
      <c r="C14" t="s">
        <v>22</v>
      </c>
      <c r="D14" s="3" t="s">
        <v>352</v>
      </c>
      <c r="E14" s="3" t="s">
        <v>25</v>
      </c>
      <c r="F14" s="3">
        <v>3</v>
      </c>
      <c r="G14" s="3">
        <v>0</v>
      </c>
      <c r="H14" s="3" t="s">
        <v>17</v>
      </c>
      <c r="I14" s="3" t="s">
        <v>353</v>
      </c>
      <c r="J14" s="3" t="s">
        <v>318</v>
      </c>
      <c r="K14" s="3">
        <v>1</v>
      </c>
      <c r="L14" s="3" t="s">
        <v>427</v>
      </c>
      <c r="M14" s="3" t="str">
        <f>IF(B14="","","AB"&amp;"_"&amp;IFERROR(VLOOKUP(B14,LOOKUPS!$K$2:$L$10,2,FALSE),"UNK")&amp;"_"&amp;IFERROR(VLOOKUP(C14,LOOKUPS!$N$2:$O$10,2,FALSE),"UNK")&amp;"_"&amp;UPPER(L14))</f>
        <v>AB_ITNIC_REQ_EMPSHARESCHEME</v>
      </c>
      <c r="N14" s="3">
        <f>IF(M14="","",COUNTIF($M$2:M14,M14))</f>
        <v>1</v>
      </c>
      <c r="O14" s="3" t="s">
        <v>720</v>
      </c>
      <c r="P14" s="3">
        <v>2</v>
      </c>
      <c r="Q14" s="3">
        <v>5</v>
      </c>
      <c r="R14" s="3">
        <v>500</v>
      </c>
      <c r="S14" s="3" t="s">
        <v>131</v>
      </c>
      <c r="T14" t="s">
        <v>17</v>
      </c>
      <c r="U14" s="3" t="s">
        <v>225</v>
      </c>
      <c r="V14" t="s">
        <v>17</v>
      </c>
      <c r="W14" s="3"/>
      <c r="X14" s="3"/>
      <c r="Y14" s="3"/>
      <c r="Z14" s="3"/>
      <c r="AA14" s="3"/>
      <c r="AB14" s="3"/>
      <c r="AC14" s="3" t="s">
        <v>726</v>
      </c>
    </row>
    <row r="15" spans="1:29" ht="28.8" x14ac:dyDescent="0.3">
      <c r="A15" s="3" t="str">
        <f t="shared" si="0"/>
        <v>AB_ITNIC_REQ_EMPSHARESCHEME_002</v>
      </c>
      <c r="B15" s="3" t="s">
        <v>21</v>
      </c>
      <c r="C15" t="s">
        <v>22</v>
      </c>
      <c r="D15" s="3" t="s">
        <v>352</v>
      </c>
      <c r="E15" s="3" t="s">
        <v>25</v>
      </c>
      <c r="F15" s="3">
        <v>3</v>
      </c>
      <c r="G15" s="3">
        <v>0</v>
      </c>
      <c r="H15" s="3" t="s">
        <v>17</v>
      </c>
      <c r="I15" s="3" t="s">
        <v>354</v>
      </c>
      <c r="J15" s="3" t="s">
        <v>318</v>
      </c>
      <c r="K15" s="3">
        <v>1</v>
      </c>
      <c r="L15" s="3" t="s">
        <v>427</v>
      </c>
      <c r="M15" s="3" t="str">
        <f>IF(B15="","","AB"&amp;"_"&amp;IFERROR(VLOOKUP(B15,LOOKUPS!$K$2:$L$10,2,FALSE),"UNK")&amp;"_"&amp;IFERROR(VLOOKUP(C15,LOOKUPS!$N$2:$O$10,2,FALSE),"UNK")&amp;"_"&amp;UPPER(L15))</f>
        <v>AB_ITNIC_REQ_EMPSHARESCHEME</v>
      </c>
      <c r="N15" s="3">
        <f>IF(M15="","",COUNTIF($M$2:M15,M15))</f>
        <v>2</v>
      </c>
      <c r="O15" s="3" t="s">
        <v>721</v>
      </c>
      <c r="P15" s="3">
        <v>2</v>
      </c>
      <c r="Q15" s="3">
        <v>3</v>
      </c>
      <c r="R15" s="3">
        <v>5</v>
      </c>
      <c r="S15" s="3" t="s">
        <v>131</v>
      </c>
      <c r="T15" t="s">
        <v>17</v>
      </c>
      <c r="U15" s="3" t="s">
        <v>225</v>
      </c>
      <c r="V15" t="s">
        <v>17</v>
      </c>
      <c r="W15" s="3"/>
      <c r="X15" s="3"/>
      <c r="Y15" s="3"/>
      <c r="Z15" s="3"/>
      <c r="AA15" s="3"/>
      <c r="AB15" s="3"/>
      <c r="AC15" s="3" t="s">
        <v>727</v>
      </c>
    </row>
    <row r="16" spans="1:29" ht="28.8" x14ac:dyDescent="0.3">
      <c r="A16" s="3" t="str">
        <f t="shared" si="0"/>
        <v>AB_ITNIC_REQ_EMPSHARESCHEME_003</v>
      </c>
      <c r="B16" s="3" t="s">
        <v>21</v>
      </c>
      <c r="C16" t="s">
        <v>22</v>
      </c>
      <c r="D16" s="3" t="s">
        <v>352</v>
      </c>
      <c r="E16" s="3" t="s">
        <v>25</v>
      </c>
      <c r="F16" s="3">
        <v>3</v>
      </c>
      <c r="G16" s="3">
        <v>0</v>
      </c>
      <c r="H16" s="3" t="s">
        <v>17</v>
      </c>
      <c r="I16" s="3" t="s">
        <v>355</v>
      </c>
      <c r="J16" s="3" t="s">
        <v>318</v>
      </c>
      <c r="K16" s="3">
        <v>1</v>
      </c>
      <c r="L16" s="3" t="s">
        <v>427</v>
      </c>
      <c r="M16" s="3" t="str">
        <f>IF(B16="","","AB"&amp;"_"&amp;IFERROR(VLOOKUP(B16,LOOKUPS!$K$2:$L$10,2,FALSE),"UNK")&amp;"_"&amp;IFERROR(VLOOKUP(C16,LOOKUPS!$N$2:$O$10,2,FALSE),"UNK")&amp;"_"&amp;UPPER(L16))</f>
        <v>AB_ITNIC_REQ_EMPSHARESCHEME</v>
      </c>
      <c r="N16" s="3">
        <f>IF(M16="","",COUNTIF($M$2:M16,M16))</f>
        <v>3</v>
      </c>
      <c r="O16" s="3" t="s">
        <v>722</v>
      </c>
      <c r="P16" s="3">
        <v>2</v>
      </c>
      <c r="Q16" s="3" t="s">
        <v>356</v>
      </c>
      <c r="R16" s="3" t="s">
        <v>357</v>
      </c>
      <c r="S16" s="3" t="s">
        <v>131</v>
      </c>
      <c r="T16" t="s">
        <v>17</v>
      </c>
      <c r="U16" s="3" t="s">
        <v>225</v>
      </c>
      <c r="V16" t="s">
        <v>17</v>
      </c>
      <c r="W16" s="3"/>
      <c r="X16" s="3"/>
      <c r="Y16" s="3"/>
      <c r="Z16" s="3"/>
      <c r="AA16" s="3"/>
      <c r="AB16" s="3"/>
      <c r="AC16" s="3" t="s">
        <v>728</v>
      </c>
    </row>
    <row r="17" spans="1:29" ht="43.2" x14ac:dyDescent="0.3">
      <c r="A17" s="3" t="str">
        <f t="shared" si="0"/>
        <v>AB_ITNIC_REQ_EMPSHARESCHEME_004</v>
      </c>
      <c r="B17" s="3" t="s">
        <v>21</v>
      </c>
      <c r="C17" t="s">
        <v>22</v>
      </c>
      <c r="D17" s="3" t="s">
        <v>352</v>
      </c>
      <c r="E17" s="3" t="s">
        <v>25</v>
      </c>
      <c r="F17" s="3">
        <v>3</v>
      </c>
      <c r="G17" s="3">
        <v>0</v>
      </c>
      <c r="H17" s="3" t="s">
        <v>17</v>
      </c>
      <c r="I17" s="3" t="s">
        <v>358</v>
      </c>
      <c r="J17" s="3" t="s">
        <v>318</v>
      </c>
      <c r="K17" s="3">
        <v>1</v>
      </c>
      <c r="L17" s="3" t="s">
        <v>427</v>
      </c>
      <c r="M17" s="3" t="str">
        <f>IF(B17="","","AB"&amp;"_"&amp;IFERROR(VLOOKUP(B17,LOOKUPS!$K$2:$L$10,2,FALSE),"UNK")&amp;"_"&amp;IFERROR(VLOOKUP(C17,LOOKUPS!$N$2:$O$10,2,FALSE),"UNK")&amp;"_"&amp;UPPER(L17))</f>
        <v>AB_ITNIC_REQ_EMPSHARESCHEME</v>
      </c>
      <c r="N17" s="3">
        <f>IF(M17="","",COUNTIF($M$2:M17,M17))</f>
        <v>4</v>
      </c>
      <c r="O17" s="3" t="s">
        <v>723</v>
      </c>
      <c r="P17" s="3">
        <v>2</v>
      </c>
      <c r="Q17" s="3" t="s">
        <v>359</v>
      </c>
      <c r="R17" s="3" t="s">
        <v>323</v>
      </c>
      <c r="S17" s="3" t="s">
        <v>225</v>
      </c>
      <c r="T17" t="s">
        <v>17</v>
      </c>
      <c r="U17" s="3" t="s">
        <v>131</v>
      </c>
      <c r="V17" t="s">
        <v>17</v>
      </c>
      <c r="W17" s="3"/>
      <c r="X17" s="3"/>
      <c r="Y17" s="3"/>
      <c r="Z17" s="3"/>
      <c r="AA17" s="3"/>
      <c r="AB17" s="3"/>
      <c r="AC17" s="3" t="s">
        <v>360</v>
      </c>
    </row>
    <row r="18" spans="1:29" ht="28.8" x14ac:dyDescent="0.3">
      <c r="A18" s="3" t="str">
        <f t="shared" si="0"/>
        <v>AB_ITNIC_REQ_EMPSHARESCHEME_005</v>
      </c>
      <c r="B18" s="3" t="s">
        <v>21</v>
      </c>
      <c r="C18" t="s">
        <v>22</v>
      </c>
      <c r="D18" s="3" t="s">
        <v>352</v>
      </c>
      <c r="E18" s="3" t="s">
        <v>25</v>
      </c>
      <c r="F18" s="3">
        <v>3</v>
      </c>
      <c r="G18" s="3">
        <v>0</v>
      </c>
      <c r="H18" s="3" t="s">
        <v>17</v>
      </c>
      <c r="I18" s="3" t="s">
        <v>361</v>
      </c>
      <c r="J18" s="3" t="s">
        <v>318</v>
      </c>
      <c r="K18" s="3">
        <v>1</v>
      </c>
      <c r="L18" s="3" t="s">
        <v>427</v>
      </c>
      <c r="M18" s="3" t="str">
        <f>IF(B18="","","AB"&amp;"_"&amp;IFERROR(VLOOKUP(B18,LOOKUPS!$K$2:$L$10,2,FALSE),"UNK")&amp;"_"&amp;IFERROR(VLOOKUP(C18,LOOKUPS!$N$2:$O$10,2,FALSE),"UNK")&amp;"_"&amp;UPPER(L18))</f>
        <v>AB_ITNIC_REQ_EMPSHARESCHEME</v>
      </c>
      <c r="N18" s="3">
        <f>IF(M18="","",COUNTIF($M$2:M18,M18))</f>
        <v>5</v>
      </c>
      <c r="O18" s="3" t="s">
        <v>724</v>
      </c>
      <c r="P18" s="3">
        <v>2</v>
      </c>
      <c r="Q18" s="3" t="s">
        <v>32</v>
      </c>
      <c r="R18" s="3" t="s">
        <v>362</v>
      </c>
      <c r="S18" s="3" t="s">
        <v>131</v>
      </c>
      <c r="T18" t="s">
        <v>17</v>
      </c>
      <c r="U18" s="3" t="s">
        <v>225</v>
      </c>
      <c r="V18" t="s">
        <v>17</v>
      </c>
      <c r="W18" s="3"/>
      <c r="X18" s="3"/>
      <c r="Y18" s="3"/>
      <c r="Z18" s="3"/>
      <c r="AA18" s="3"/>
      <c r="AB18" s="3"/>
      <c r="AC18" s="3" t="s">
        <v>729</v>
      </c>
    </row>
    <row r="19" spans="1:29" ht="43.2" x14ac:dyDescent="0.3">
      <c r="A19" s="3" t="str">
        <f t="shared" si="0"/>
        <v>AB_ITNIC_REQ_EMPSHARESCHEME_006</v>
      </c>
      <c r="B19" s="3" t="s">
        <v>21</v>
      </c>
      <c r="C19" t="s">
        <v>22</v>
      </c>
      <c r="D19" s="3" t="s">
        <v>352</v>
      </c>
      <c r="E19" s="3" t="s">
        <v>25</v>
      </c>
      <c r="F19" s="3">
        <v>3</v>
      </c>
      <c r="G19" s="3">
        <v>0</v>
      </c>
      <c r="H19" s="3" t="s">
        <v>17</v>
      </c>
      <c r="I19" s="3" t="s">
        <v>363</v>
      </c>
      <c r="J19" s="3" t="s">
        <v>318</v>
      </c>
      <c r="K19" s="3">
        <v>1</v>
      </c>
      <c r="L19" s="3" t="s">
        <v>427</v>
      </c>
      <c r="M19" s="3" t="str">
        <f>IF(B19="","","AB"&amp;"_"&amp;IFERROR(VLOOKUP(B19,LOOKUPS!$K$2:$L$10,2,FALSE),"UNK")&amp;"_"&amp;IFERROR(VLOOKUP(C19,LOOKUPS!$N$2:$O$10,2,FALSE),"UNK")&amp;"_"&amp;UPPER(L19))</f>
        <v>AB_ITNIC_REQ_EMPSHARESCHEME</v>
      </c>
      <c r="N19" s="3">
        <f>IF(M19="","",COUNTIF($M$2:M19,M19))</f>
        <v>6</v>
      </c>
      <c r="O19" s="3" t="s">
        <v>737</v>
      </c>
      <c r="P19" s="3">
        <v>2</v>
      </c>
      <c r="Q19" s="3" t="s">
        <v>220</v>
      </c>
      <c r="R19" s="3" t="s">
        <v>364</v>
      </c>
      <c r="S19" s="3" t="s">
        <v>225</v>
      </c>
      <c r="T19" t="s">
        <v>17</v>
      </c>
      <c r="U19" s="3" t="s">
        <v>131</v>
      </c>
      <c r="V19" t="s">
        <v>17</v>
      </c>
      <c r="W19" s="3"/>
      <c r="X19" s="3"/>
      <c r="Y19" s="3"/>
      <c r="Z19" s="3"/>
      <c r="AA19" s="3"/>
      <c r="AB19" s="3"/>
      <c r="AC19" s="3" t="s">
        <v>744</v>
      </c>
    </row>
    <row r="20" spans="1:29" ht="43.2" x14ac:dyDescent="0.3">
      <c r="A20" s="3" t="str">
        <f t="shared" si="0"/>
        <v>AB_ITNIC_REQ_EMPSHARESCHEME_007</v>
      </c>
      <c r="B20" s="3" t="s">
        <v>21</v>
      </c>
      <c r="C20" t="s">
        <v>22</v>
      </c>
      <c r="D20" s="3" t="s">
        <v>352</v>
      </c>
      <c r="E20" s="3" t="s">
        <v>25</v>
      </c>
      <c r="F20" s="3">
        <v>3</v>
      </c>
      <c r="G20" s="3">
        <v>0</v>
      </c>
      <c r="H20" s="3" t="s">
        <v>17</v>
      </c>
      <c r="I20" s="3" t="s">
        <v>365</v>
      </c>
      <c r="J20" s="3" t="s">
        <v>318</v>
      </c>
      <c r="K20" s="3">
        <v>1</v>
      </c>
      <c r="L20" s="3" t="s">
        <v>427</v>
      </c>
      <c r="M20" s="3" t="str">
        <f>IF(B20="","","AB"&amp;"_"&amp;IFERROR(VLOOKUP(B20,LOOKUPS!$K$2:$L$10,2,FALSE),"UNK")&amp;"_"&amp;IFERROR(VLOOKUP(C20,LOOKUPS!$N$2:$O$10,2,FALSE),"UNK")&amp;"_"&amp;UPPER(L20))</f>
        <v>AB_ITNIC_REQ_EMPSHARESCHEME</v>
      </c>
      <c r="N20" s="3">
        <f>IF(M20="","",COUNTIF($M$2:M20,M20))</f>
        <v>7</v>
      </c>
      <c r="O20" s="3" t="s">
        <v>738</v>
      </c>
      <c r="P20" s="3">
        <v>2</v>
      </c>
      <c r="Q20" s="3" t="s">
        <v>366</v>
      </c>
      <c r="R20" s="9">
        <v>0.3</v>
      </c>
      <c r="S20" s="3" t="s">
        <v>131</v>
      </c>
      <c r="T20" t="s">
        <v>17</v>
      </c>
      <c r="U20" s="3" t="s">
        <v>225</v>
      </c>
      <c r="V20" t="s">
        <v>17</v>
      </c>
      <c r="W20" s="3"/>
      <c r="X20" s="3"/>
      <c r="Y20" s="3"/>
      <c r="Z20" s="3"/>
      <c r="AA20" s="3"/>
      <c r="AB20" s="3"/>
      <c r="AC20" s="3" t="s">
        <v>745</v>
      </c>
    </row>
    <row r="21" spans="1:29" ht="43.2" x14ac:dyDescent="0.3">
      <c r="A21" s="3" t="str">
        <f t="shared" si="0"/>
        <v>AB_ITNIC_REQ_EMPSHARESCHEME_008</v>
      </c>
      <c r="B21" s="3" t="s">
        <v>21</v>
      </c>
      <c r="C21" t="s">
        <v>22</v>
      </c>
      <c r="D21" s="3" t="s">
        <v>352</v>
      </c>
      <c r="E21" s="3" t="s">
        <v>25</v>
      </c>
      <c r="F21" s="3">
        <v>3</v>
      </c>
      <c r="G21" s="3">
        <v>0</v>
      </c>
      <c r="H21" s="3" t="s">
        <v>17</v>
      </c>
      <c r="I21" s="3" t="s">
        <v>367</v>
      </c>
      <c r="J21" s="3" t="s">
        <v>318</v>
      </c>
      <c r="K21" s="3">
        <v>1</v>
      </c>
      <c r="L21" s="3" t="s">
        <v>427</v>
      </c>
      <c r="M21" s="3" t="str">
        <f>IF(B21="","","AB"&amp;"_"&amp;IFERROR(VLOOKUP(B21,LOOKUPS!$K$2:$L$10,2,FALSE),"UNK")&amp;"_"&amp;IFERROR(VLOOKUP(C21,LOOKUPS!$N$2:$O$10,2,FALSE),"UNK")&amp;"_"&amp;UPPER(L21))</f>
        <v>AB_ITNIC_REQ_EMPSHARESCHEME</v>
      </c>
      <c r="N21" s="3">
        <f>IF(M21="","",COUNTIF($M$2:M21,M21))</f>
        <v>8</v>
      </c>
      <c r="O21" s="3" t="s">
        <v>739</v>
      </c>
      <c r="P21" s="3">
        <v>2</v>
      </c>
      <c r="Q21" s="3">
        <v>3</v>
      </c>
      <c r="R21" s="3" t="s">
        <v>368</v>
      </c>
      <c r="S21" s="3" t="s">
        <v>225</v>
      </c>
      <c r="T21" t="s">
        <v>17</v>
      </c>
      <c r="U21" s="3" t="s">
        <v>131</v>
      </c>
      <c r="V21" t="s">
        <v>17</v>
      </c>
      <c r="W21" s="3"/>
      <c r="X21" s="3"/>
      <c r="Y21" s="3"/>
      <c r="Z21" s="3"/>
      <c r="AA21" s="3"/>
      <c r="AB21" s="3"/>
      <c r="AC21" s="3" t="s">
        <v>746</v>
      </c>
    </row>
    <row r="22" spans="1:29" ht="28.8" x14ac:dyDescent="0.3">
      <c r="A22" s="3" t="str">
        <f t="shared" si="0"/>
        <v>AB_ITNIC_REQ_EMPSHARESCHEME_009</v>
      </c>
      <c r="B22" s="3" t="s">
        <v>21</v>
      </c>
      <c r="C22" t="s">
        <v>22</v>
      </c>
      <c r="D22" s="3" t="s">
        <v>352</v>
      </c>
      <c r="E22" s="3" t="s">
        <v>25</v>
      </c>
      <c r="F22" s="3">
        <v>3</v>
      </c>
      <c r="G22" s="3">
        <v>0</v>
      </c>
      <c r="H22" s="3" t="s">
        <v>17</v>
      </c>
      <c r="I22" s="3" t="s">
        <v>369</v>
      </c>
      <c r="J22" s="3" t="s">
        <v>318</v>
      </c>
      <c r="K22" s="3">
        <v>1</v>
      </c>
      <c r="L22" s="3" t="s">
        <v>427</v>
      </c>
      <c r="M22" s="3" t="str">
        <f>IF(B22="","","AB"&amp;"_"&amp;IFERROR(VLOOKUP(B22,LOOKUPS!$K$2:$L$10,2,FALSE),"UNK")&amp;"_"&amp;IFERROR(VLOOKUP(C22,LOOKUPS!$N$2:$O$10,2,FALSE),"UNK")&amp;"_"&amp;UPPER(L22))</f>
        <v>AB_ITNIC_REQ_EMPSHARESCHEME</v>
      </c>
      <c r="N22" s="3">
        <f>IF(M22="","",COUNTIF($M$2:M22,M22))</f>
        <v>9</v>
      </c>
      <c r="O22" s="3" t="s">
        <v>740</v>
      </c>
      <c r="P22" s="3">
        <v>2</v>
      </c>
      <c r="Q22" s="3">
        <v>10</v>
      </c>
      <c r="R22" s="3">
        <v>3</v>
      </c>
      <c r="S22" s="3" t="s">
        <v>225</v>
      </c>
      <c r="T22" t="s">
        <v>17</v>
      </c>
      <c r="U22" s="3" t="s">
        <v>131</v>
      </c>
      <c r="V22" t="s">
        <v>17</v>
      </c>
      <c r="W22" s="3"/>
      <c r="X22" s="3"/>
      <c r="Y22" s="3"/>
      <c r="Z22" s="3"/>
      <c r="AA22" s="3"/>
      <c r="AB22" s="3"/>
      <c r="AC22" s="3" t="s">
        <v>747</v>
      </c>
    </row>
    <row r="23" spans="1:29" ht="43.2" x14ac:dyDescent="0.3">
      <c r="A23" s="3" t="str">
        <f t="shared" si="0"/>
        <v>AB_ITNIC_REQ_EMPSHARESCHEME_010</v>
      </c>
      <c r="B23" s="3" t="s">
        <v>21</v>
      </c>
      <c r="C23" t="s">
        <v>22</v>
      </c>
      <c r="D23" s="3" t="s">
        <v>352</v>
      </c>
      <c r="E23" s="3" t="s">
        <v>25</v>
      </c>
      <c r="F23" s="3">
        <v>3</v>
      </c>
      <c r="G23" s="3">
        <v>0</v>
      </c>
      <c r="H23" s="3" t="s">
        <v>17</v>
      </c>
      <c r="I23" s="3" t="s">
        <v>370</v>
      </c>
      <c r="J23" s="3" t="s">
        <v>318</v>
      </c>
      <c r="K23" s="3">
        <v>1</v>
      </c>
      <c r="L23" s="3" t="s">
        <v>427</v>
      </c>
      <c r="M23" s="3" t="str">
        <f>IF(B23="","","AB"&amp;"_"&amp;IFERROR(VLOOKUP(B23,LOOKUPS!$K$2:$L$10,2,FALSE),"UNK")&amp;"_"&amp;IFERROR(VLOOKUP(C23,LOOKUPS!$N$2:$O$10,2,FALSE),"UNK")&amp;"_"&amp;UPPER(L23))</f>
        <v>AB_ITNIC_REQ_EMPSHARESCHEME</v>
      </c>
      <c r="N23" s="3">
        <f>IF(M23="","",COUNTIF($M$2:M23,M23))</f>
        <v>10</v>
      </c>
      <c r="O23" s="3" t="s">
        <v>741</v>
      </c>
      <c r="P23" s="3">
        <v>2</v>
      </c>
      <c r="Q23" s="3" t="s">
        <v>371</v>
      </c>
      <c r="R23" s="3">
        <v>60000</v>
      </c>
      <c r="S23" s="3" t="s">
        <v>225</v>
      </c>
      <c r="T23" t="s">
        <v>17</v>
      </c>
      <c r="U23" s="3" t="s">
        <v>131</v>
      </c>
      <c r="V23" t="s">
        <v>17</v>
      </c>
      <c r="W23" s="3"/>
      <c r="X23" s="3"/>
      <c r="Y23" s="3"/>
      <c r="Z23" s="3"/>
      <c r="AA23" s="3"/>
      <c r="AB23" s="3"/>
      <c r="AC23" s="3" t="s">
        <v>748</v>
      </c>
    </row>
    <row r="24" spans="1:29" ht="43.2" x14ac:dyDescent="0.3">
      <c r="A24" s="3" t="str">
        <f t="shared" si="0"/>
        <v>AB_ITNIC_REQ_EMPSHARESCHEME_011</v>
      </c>
      <c r="B24" s="3" t="s">
        <v>21</v>
      </c>
      <c r="C24" t="s">
        <v>22</v>
      </c>
      <c r="D24" s="3" t="s">
        <v>352</v>
      </c>
      <c r="E24" s="3" t="s">
        <v>25</v>
      </c>
      <c r="F24" s="3">
        <v>3</v>
      </c>
      <c r="G24" s="3">
        <v>0</v>
      </c>
      <c r="H24" s="3" t="s">
        <v>17</v>
      </c>
      <c r="I24" s="3" t="s">
        <v>372</v>
      </c>
      <c r="J24" s="3" t="s">
        <v>318</v>
      </c>
      <c r="K24" s="3">
        <v>1</v>
      </c>
      <c r="L24" s="3" t="s">
        <v>427</v>
      </c>
      <c r="M24" s="3" t="str">
        <f>IF(B24="","","AB"&amp;"_"&amp;IFERROR(VLOOKUP(B24,LOOKUPS!$K$2:$L$10,2,FALSE),"UNK")&amp;"_"&amp;IFERROR(VLOOKUP(C24,LOOKUPS!$N$2:$O$10,2,FALSE),"UNK")&amp;"_"&amp;UPPER(L24))</f>
        <v>AB_ITNIC_REQ_EMPSHARESCHEME</v>
      </c>
      <c r="N24" s="3">
        <f>IF(M24="","",COUNTIF($M$2:M24,M24))</f>
        <v>11</v>
      </c>
      <c r="O24" s="3" t="s">
        <v>742</v>
      </c>
      <c r="P24" s="3">
        <v>2</v>
      </c>
      <c r="Q24" s="3" t="s">
        <v>32</v>
      </c>
      <c r="R24" s="3" t="s">
        <v>373</v>
      </c>
      <c r="S24" s="3" t="s">
        <v>131</v>
      </c>
      <c r="T24" t="s">
        <v>17</v>
      </c>
      <c r="U24" s="3" t="s">
        <v>225</v>
      </c>
      <c r="V24" t="s">
        <v>17</v>
      </c>
      <c r="W24" s="3"/>
      <c r="X24" s="3"/>
      <c r="Y24" s="3"/>
      <c r="Z24" s="3"/>
      <c r="AA24" s="3"/>
      <c r="AB24" s="3"/>
      <c r="AC24" s="3" t="s">
        <v>749</v>
      </c>
    </row>
    <row r="25" spans="1:29" ht="43.2" x14ac:dyDescent="0.3">
      <c r="A25" s="3" t="str">
        <f t="shared" si="0"/>
        <v>AB_ITNIC_REQ_EMPSHARESCHEME_012</v>
      </c>
      <c r="B25" s="3" t="s">
        <v>21</v>
      </c>
      <c r="C25" t="s">
        <v>22</v>
      </c>
      <c r="D25" s="3" t="s">
        <v>352</v>
      </c>
      <c r="E25" s="3" t="s">
        <v>25</v>
      </c>
      <c r="F25" s="3">
        <v>3</v>
      </c>
      <c r="G25" s="3">
        <v>0</v>
      </c>
      <c r="H25" s="3" t="s">
        <v>17</v>
      </c>
      <c r="I25" s="3" t="s">
        <v>374</v>
      </c>
      <c r="J25" s="3" t="s">
        <v>318</v>
      </c>
      <c r="K25" s="3">
        <v>1</v>
      </c>
      <c r="L25" s="3" t="s">
        <v>427</v>
      </c>
      <c r="M25" s="3" t="str">
        <f>IF(B25="","","AB"&amp;"_"&amp;IFERROR(VLOOKUP(B25,LOOKUPS!$K$2:$L$10,2,FALSE),"UNK")&amp;"_"&amp;IFERROR(VLOOKUP(C25,LOOKUPS!$N$2:$O$10,2,FALSE),"UNK")&amp;"_"&amp;UPPER(L25))</f>
        <v>AB_ITNIC_REQ_EMPSHARESCHEME</v>
      </c>
      <c r="N25" s="3">
        <f>IF(M25="","",COUNTIF($M$2:M25,M25))</f>
        <v>12</v>
      </c>
      <c r="O25" s="3" t="s">
        <v>702</v>
      </c>
      <c r="P25" s="3">
        <v>2</v>
      </c>
      <c r="Q25" s="3" t="s">
        <v>375</v>
      </c>
      <c r="R25" s="3" t="s">
        <v>376</v>
      </c>
      <c r="S25" s="3" t="s">
        <v>225</v>
      </c>
      <c r="T25" t="s">
        <v>17</v>
      </c>
      <c r="U25" s="3" t="s">
        <v>131</v>
      </c>
      <c r="V25" t="s">
        <v>17</v>
      </c>
      <c r="W25" s="3"/>
      <c r="X25" s="3"/>
      <c r="Y25" s="3"/>
      <c r="Z25" s="3"/>
      <c r="AA25" s="3"/>
      <c r="AB25" s="3"/>
      <c r="AC25" s="3" t="s">
        <v>703</v>
      </c>
    </row>
    <row r="26" spans="1:29" ht="43.2" x14ac:dyDescent="0.3">
      <c r="A26" s="3" t="str">
        <f t="shared" si="0"/>
        <v>AB_ITNIC_REQ_EMPSHARESCHEME_013</v>
      </c>
      <c r="B26" s="3" t="s">
        <v>21</v>
      </c>
      <c r="C26" t="s">
        <v>22</v>
      </c>
      <c r="D26" s="3" t="s">
        <v>352</v>
      </c>
      <c r="E26" s="3" t="s">
        <v>25</v>
      </c>
      <c r="F26" s="3">
        <v>3</v>
      </c>
      <c r="G26" s="3">
        <v>0</v>
      </c>
      <c r="H26" s="3" t="s">
        <v>17</v>
      </c>
      <c r="I26" s="3" t="s">
        <v>377</v>
      </c>
      <c r="J26" s="3" t="s">
        <v>318</v>
      </c>
      <c r="K26" s="3">
        <v>1</v>
      </c>
      <c r="L26" s="3" t="s">
        <v>427</v>
      </c>
      <c r="M26" s="3" t="str">
        <f>IF(B26="","","AB"&amp;"_"&amp;IFERROR(VLOOKUP(B26,LOOKUPS!$K$2:$L$10,2,FALSE),"UNK")&amp;"_"&amp;IFERROR(VLOOKUP(C26,LOOKUPS!$N$2:$O$10,2,FALSE),"UNK")&amp;"_"&amp;UPPER(L26))</f>
        <v>AB_ITNIC_REQ_EMPSHARESCHEME</v>
      </c>
      <c r="N26" s="3">
        <f>IF(M26="","",COUNTIF($M$2:M26,M26))</f>
        <v>13</v>
      </c>
      <c r="O26" s="3" t="s">
        <v>704</v>
      </c>
      <c r="P26" s="3">
        <v>2</v>
      </c>
      <c r="Q26" s="3" t="s">
        <v>378</v>
      </c>
      <c r="R26" s="3">
        <v>250</v>
      </c>
      <c r="S26" s="3" t="s">
        <v>131</v>
      </c>
      <c r="T26" t="s">
        <v>17</v>
      </c>
      <c r="U26" s="3" t="s">
        <v>225</v>
      </c>
      <c r="V26" t="s">
        <v>17</v>
      </c>
      <c r="W26" s="3"/>
      <c r="X26" s="3"/>
      <c r="Y26" s="3"/>
      <c r="Z26" s="3"/>
      <c r="AA26" s="3"/>
      <c r="AB26" s="3"/>
      <c r="AC26" s="3" t="s">
        <v>705</v>
      </c>
    </row>
    <row r="27" spans="1:29" ht="57.6" x14ac:dyDescent="0.3">
      <c r="A27" s="3" t="str">
        <f t="shared" si="0"/>
        <v>AB_ITNIC_REQ_EMPSHARESCHEME_014</v>
      </c>
      <c r="B27" s="3" t="s">
        <v>21</v>
      </c>
      <c r="C27" t="s">
        <v>22</v>
      </c>
      <c r="D27" s="3" t="s">
        <v>352</v>
      </c>
      <c r="E27" s="3" t="s">
        <v>25</v>
      </c>
      <c r="F27" s="3">
        <v>3</v>
      </c>
      <c r="G27" s="3">
        <v>0</v>
      </c>
      <c r="H27" s="3" t="s">
        <v>17</v>
      </c>
      <c r="I27" s="3" t="s">
        <v>379</v>
      </c>
      <c r="J27" s="3" t="s">
        <v>318</v>
      </c>
      <c r="K27" s="3">
        <v>1</v>
      </c>
      <c r="L27" s="3" t="s">
        <v>427</v>
      </c>
      <c r="M27" s="3" t="str">
        <f>IF(B27="","","AB"&amp;"_"&amp;IFERROR(VLOOKUP(B27,LOOKUPS!$K$2:$L$10,2,FALSE),"UNK")&amp;"_"&amp;IFERROR(VLOOKUP(C27,LOOKUPS!$N$2:$O$10,2,FALSE),"UNK")&amp;"_"&amp;UPPER(L27))</f>
        <v>AB_ITNIC_REQ_EMPSHARESCHEME</v>
      </c>
      <c r="N27" s="3">
        <f>IF(M27="","",COUNTIF($M$2:M27,M27))</f>
        <v>14</v>
      </c>
      <c r="O27" s="3" t="s">
        <v>706</v>
      </c>
      <c r="P27" s="3">
        <v>2</v>
      </c>
      <c r="Q27" s="3" t="s">
        <v>380</v>
      </c>
      <c r="R27" s="3" t="s">
        <v>381</v>
      </c>
      <c r="S27" s="3" t="s">
        <v>225</v>
      </c>
      <c r="T27" t="s">
        <v>17</v>
      </c>
      <c r="U27" s="3" t="s">
        <v>131</v>
      </c>
      <c r="V27" t="s">
        <v>17</v>
      </c>
      <c r="W27" s="3"/>
      <c r="X27" s="3"/>
      <c r="Y27" s="3"/>
      <c r="Z27" s="3"/>
      <c r="AA27" s="3"/>
      <c r="AB27" s="3"/>
      <c r="AC27" s="3" t="s">
        <v>707</v>
      </c>
    </row>
    <row r="28" spans="1:29" ht="43.2" x14ac:dyDescent="0.3">
      <c r="A28" s="3" t="str">
        <f t="shared" si="0"/>
        <v>AB_ITNIC_REQ_EMPSHARESCHEME_015</v>
      </c>
      <c r="B28" s="3" t="s">
        <v>21</v>
      </c>
      <c r="C28" t="s">
        <v>22</v>
      </c>
      <c r="D28" s="3" t="s">
        <v>352</v>
      </c>
      <c r="E28" s="3" t="s">
        <v>25</v>
      </c>
      <c r="F28" s="3">
        <v>3</v>
      </c>
      <c r="G28" s="3">
        <v>0</v>
      </c>
      <c r="H28" s="3" t="s">
        <v>17</v>
      </c>
      <c r="I28" s="3" t="s">
        <v>382</v>
      </c>
      <c r="J28" s="3" t="s">
        <v>318</v>
      </c>
      <c r="K28" s="3">
        <v>1</v>
      </c>
      <c r="L28" s="3" t="s">
        <v>427</v>
      </c>
      <c r="M28" s="3" t="str">
        <f>IF(B28="","","AB"&amp;"_"&amp;IFERROR(VLOOKUP(B28,LOOKUPS!$K$2:$L$10,2,FALSE),"UNK")&amp;"_"&amp;IFERROR(VLOOKUP(C28,LOOKUPS!$N$2:$O$10,2,FALSE),"UNK")&amp;"_"&amp;UPPER(L28))</f>
        <v>AB_ITNIC_REQ_EMPSHARESCHEME</v>
      </c>
      <c r="N28" s="3">
        <f>IF(M28="","",COUNTIF($M$2:M28,M28))</f>
        <v>15</v>
      </c>
      <c r="O28" s="3" t="s">
        <v>708</v>
      </c>
      <c r="P28" s="3">
        <v>2</v>
      </c>
      <c r="Q28" s="3">
        <v>25</v>
      </c>
      <c r="R28" s="9">
        <v>0.75</v>
      </c>
      <c r="S28" s="3" t="s">
        <v>131</v>
      </c>
      <c r="T28" t="s">
        <v>17</v>
      </c>
      <c r="U28" s="3" t="s">
        <v>225</v>
      </c>
      <c r="V28" t="s">
        <v>17</v>
      </c>
      <c r="W28" s="3"/>
      <c r="X28" s="3"/>
      <c r="Y28" s="3"/>
      <c r="Z28" s="3"/>
      <c r="AA28" s="3"/>
      <c r="AB28" s="3"/>
      <c r="AC28" s="3" t="s">
        <v>709</v>
      </c>
    </row>
    <row r="29" spans="1:29" ht="43.2" x14ac:dyDescent="0.3">
      <c r="A29" s="3" t="str">
        <f t="shared" si="0"/>
        <v>AB_ITNIC_REQ_EMPSHARESCHEME_016</v>
      </c>
      <c r="B29" s="3" t="s">
        <v>21</v>
      </c>
      <c r="C29" t="s">
        <v>22</v>
      </c>
      <c r="D29" s="3" t="s">
        <v>352</v>
      </c>
      <c r="E29" s="3" t="s">
        <v>25</v>
      </c>
      <c r="F29" s="3">
        <v>3</v>
      </c>
      <c r="G29" s="3">
        <v>0</v>
      </c>
      <c r="H29" s="3" t="s">
        <v>17</v>
      </c>
      <c r="I29" s="3" t="s">
        <v>383</v>
      </c>
      <c r="J29" s="3" t="s">
        <v>318</v>
      </c>
      <c r="K29" s="3">
        <v>1</v>
      </c>
      <c r="L29" s="3" t="s">
        <v>427</v>
      </c>
      <c r="M29" s="3" t="str">
        <f>IF(B29="","","AB"&amp;"_"&amp;IFERROR(VLOOKUP(B29,LOOKUPS!$K$2:$L$10,2,FALSE),"UNK")&amp;"_"&amp;IFERROR(VLOOKUP(C29,LOOKUPS!$N$2:$O$10,2,FALSE),"UNK")&amp;"_"&amp;UPPER(L29))</f>
        <v>AB_ITNIC_REQ_EMPSHARESCHEME</v>
      </c>
      <c r="N29" s="3">
        <f>IF(M29="","",COUNTIF($M$2:M29,M29))</f>
        <v>16</v>
      </c>
      <c r="O29" s="3" t="s">
        <v>710</v>
      </c>
      <c r="P29" s="3">
        <v>2</v>
      </c>
      <c r="Q29" s="3" t="s">
        <v>384</v>
      </c>
      <c r="R29" s="9">
        <v>0.3</v>
      </c>
      <c r="S29" s="3" t="s">
        <v>225</v>
      </c>
      <c r="T29" t="s">
        <v>17</v>
      </c>
      <c r="U29" s="3" t="s">
        <v>131</v>
      </c>
      <c r="V29" t="s">
        <v>17</v>
      </c>
      <c r="W29" s="3"/>
      <c r="X29" s="3"/>
      <c r="Y29" s="3"/>
      <c r="Z29" s="3"/>
      <c r="AA29" s="3"/>
      <c r="AB29" s="3"/>
      <c r="AC29" s="3" t="s">
        <v>711</v>
      </c>
    </row>
    <row r="30" spans="1:29" ht="57.6" x14ac:dyDescent="0.3">
      <c r="A30" s="3" t="str">
        <f t="shared" si="0"/>
        <v>AB_ITNIC_REQ_EMPSHARESCHEME_017</v>
      </c>
      <c r="B30" s="3" t="s">
        <v>21</v>
      </c>
      <c r="C30" t="s">
        <v>22</v>
      </c>
      <c r="D30" s="3" t="s">
        <v>352</v>
      </c>
      <c r="E30" s="3" t="s">
        <v>25</v>
      </c>
      <c r="F30" s="3">
        <v>3</v>
      </c>
      <c r="G30" s="3">
        <v>0</v>
      </c>
      <c r="H30" s="3" t="s">
        <v>17</v>
      </c>
      <c r="I30" s="3" t="s">
        <v>385</v>
      </c>
      <c r="J30" s="3" t="s">
        <v>318</v>
      </c>
      <c r="K30" s="3">
        <v>1</v>
      </c>
      <c r="L30" s="3" t="s">
        <v>427</v>
      </c>
      <c r="M30" s="3" t="str">
        <f>IF(B30="","","AB"&amp;"_"&amp;IFERROR(VLOOKUP(B30,LOOKUPS!$K$2:$L$10,2,FALSE),"UNK")&amp;"_"&amp;IFERROR(VLOOKUP(C30,LOOKUPS!$N$2:$O$10,2,FALSE),"UNK")&amp;"_"&amp;UPPER(L30))</f>
        <v>AB_ITNIC_REQ_EMPSHARESCHEME</v>
      </c>
      <c r="N30" s="3">
        <f>IF(M30="","",COUNTIF($M$2:M30,M30))</f>
        <v>17</v>
      </c>
      <c r="O30" s="3" t="s">
        <v>712</v>
      </c>
      <c r="P30" s="3">
        <v>2</v>
      </c>
      <c r="Q30" s="3" t="s">
        <v>364</v>
      </c>
      <c r="R30" s="3" t="s">
        <v>386</v>
      </c>
      <c r="S30" s="3" t="s">
        <v>131</v>
      </c>
      <c r="T30" t="s">
        <v>17</v>
      </c>
      <c r="U30" s="3" t="s">
        <v>225</v>
      </c>
      <c r="V30" t="s">
        <v>17</v>
      </c>
      <c r="W30" s="3"/>
      <c r="X30" s="3"/>
      <c r="Y30" s="3"/>
      <c r="Z30" s="3"/>
      <c r="AA30" s="3"/>
      <c r="AB30" s="3"/>
      <c r="AC30" s="3" t="s">
        <v>387</v>
      </c>
    </row>
    <row r="31" spans="1:29" ht="57.6" x14ac:dyDescent="0.3">
      <c r="A31" s="3" t="str">
        <f t="shared" si="0"/>
        <v>AB_ITNIC_REQ_EMPSHARESCHEME_018</v>
      </c>
      <c r="B31" s="3" t="s">
        <v>21</v>
      </c>
      <c r="C31" t="s">
        <v>22</v>
      </c>
      <c r="D31" s="3" t="s">
        <v>352</v>
      </c>
      <c r="E31" s="3" t="s">
        <v>25</v>
      </c>
      <c r="F31" s="3">
        <v>3</v>
      </c>
      <c r="G31" s="3">
        <v>0</v>
      </c>
      <c r="H31" s="3" t="s">
        <v>17</v>
      </c>
      <c r="I31" s="3" t="s">
        <v>388</v>
      </c>
      <c r="J31" s="3" t="s">
        <v>318</v>
      </c>
      <c r="K31" s="3">
        <v>1</v>
      </c>
      <c r="L31" s="3" t="s">
        <v>427</v>
      </c>
      <c r="M31" s="3" t="str">
        <f>IF(B31="","","AB"&amp;"_"&amp;IFERROR(VLOOKUP(B31,LOOKUPS!$K$2:$L$10,2,FALSE),"UNK")&amp;"_"&amp;IFERROR(VLOOKUP(C31,LOOKUPS!$N$2:$O$10,2,FALSE),"UNK")&amp;"_"&amp;UPPER(L31))</f>
        <v>AB_ITNIC_REQ_EMPSHARESCHEME</v>
      </c>
      <c r="N31" s="3">
        <f>IF(M31="","",COUNTIF($M$2:M31,M31))</f>
        <v>18</v>
      </c>
      <c r="O31" s="3" t="s">
        <v>713</v>
      </c>
      <c r="P31" s="3">
        <v>2</v>
      </c>
      <c r="Q31" s="3" t="s">
        <v>389</v>
      </c>
      <c r="R31" s="3">
        <v>250000</v>
      </c>
      <c r="S31" s="3" t="s">
        <v>225</v>
      </c>
      <c r="T31" t="s">
        <v>17</v>
      </c>
      <c r="U31" s="3" t="s">
        <v>131</v>
      </c>
      <c r="V31" t="s">
        <v>17</v>
      </c>
      <c r="W31" s="3"/>
      <c r="X31" s="3"/>
      <c r="Y31" s="3"/>
      <c r="Z31" s="3"/>
      <c r="AA31" s="3"/>
      <c r="AB31" s="3"/>
      <c r="AC31" s="3" t="s">
        <v>714</v>
      </c>
    </row>
    <row r="32" spans="1:29" ht="86.4" x14ac:dyDescent="0.3">
      <c r="A32" s="3" t="str">
        <f t="shared" si="0"/>
        <v>AB_ITNIC_REQ_EMPSHARESCHEME_019</v>
      </c>
      <c r="B32" s="3" t="s">
        <v>21</v>
      </c>
      <c r="C32" t="s">
        <v>22</v>
      </c>
      <c r="D32" s="3" t="s">
        <v>352</v>
      </c>
      <c r="E32" s="3" t="s">
        <v>25</v>
      </c>
      <c r="F32" s="3">
        <v>3</v>
      </c>
      <c r="G32" s="3">
        <v>0</v>
      </c>
      <c r="H32" s="3" t="s">
        <v>17</v>
      </c>
      <c r="I32" s="3" t="s">
        <v>390</v>
      </c>
      <c r="J32" s="3" t="s">
        <v>318</v>
      </c>
      <c r="K32" s="3">
        <v>1</v>
      </c>
      <c r="L32" s="3" t="s">
        <v>427</v>
      </c>
      <c r="M32" s="3" t="str">
        <f>IF(B32="","","AB"&amp;"_"&amp;IFERROR(VLOOKUP(B32,LOOKUPS!$K$2:$L$10,2,FALSE),"UNK")&amp;"_"&amp;IFERROR(VLOOKUP(C32,LOOKUPS!$N$2:$O$10,2,FALSE),"UNK")&amp;"_"&amp;UPPER(L32))</f>
        <v>AB_ITNIC_REQ_EMPSHARESCHEME</v>
      </c>
      <c r="N32" s="3">
        <f>IF(M32="","",COUNTIF($M$2:M32,M32))</f>
        <v>19</v>
      </c>
      <c r="O32" s="3" t="s">
        <v>725</v>
      </c>
      <c r="P32" s="3">
        <v>2</v>
      </c>
      <c r="Q32" s="3" t="s">
        <v>344</v>
      </c>
      <c r="R32" s="3" t="s">
        <v>743</v>
      </c>
      <c r="S32" s="3" t="s">
        <v>131</v>
      </c>
      <c r="T32" t="s">
        <v>17</v>
      </c>
      <c r="U32" s="3" t="s">
        <v>225</v>
      </c>
      <c r="V32" t="s">
        <v>17</v>
      </c>
      <c r="W32" s="3"/>
      <c r="X32" s="3"/>
      <c r="Y32" s="3"/>
      <c r="Z32" s="3"/>
      <c r="AA32" s="3"/>
      <c r="AB32" s="3"/>
      <c r="AC32" s="3" t="s">
        <v>750</v>
      </c>
    </row>
    <row r="33" spans="1:29" ht="43.2" x14ac:dyDescent="0.3">
      <c r="A33" s="3" t="str">
        <f t="shared" si="0"/>
        <v>AB_ITNIC_REQ_EMPSHARESCHEME_020</v>
      </c>
      <c r="B33" s="3" t="s">
        <v>21</v>
      </c>
      <c r="C33" t="s">
        <v>22</v>
      </c>
      <c r="D33" s="3" t="s">
        <v>352</v>
      </c>
      <c r="E33" s="3" t="s">
        <v>25</v>
      </c>
      <c r="F33" s="3">
        <v>3</v>
      </c>
      <c r="G33" s="3">
        <v>0</v>
      </c>
      <c r="H33" s="3" t="s">
        <v>17</v>
      </c>
      <c r="I33" s="3" t="s">
        <v>391</v>
      </c>
      <c r="J33" s="3" t="s">
        <v>318</v>
      </c>
      <c r="K33" s="3">
        <v>1</v>
      </c>
      <c r="L33" s="3" t="s">
        <v>427</v>
      </c>
      <c r="M33" s="3" t="str">
        <f>IF(B33="","","AB"&amp;"_"&amp;IFERROR(VLOOKUP(B33,LOOKUPS!$K$2:$L$10,2,FALSE),"UNK")&amp;"_"&amp;IFERROR(VLOOKUP(C33,LOOKUPS!$N$2:$O$10,2,FALSE),"UNK")&amp;"_"&amp;UPPER(L33))</f>
        <v>AB_ITNIC_REQ_EMPSHARESCHEME</v>
      </c>
      <c r="N33" s="3">
        <f>IF(M33="","",COUNTIF($M$2:M33,M33))</f>
        <v>20</v>
      </c>
      <c r="O33" s="3" t="s">
        <v>715</v>
      </c>
      <c r="P33" s="3">
        <v>2</v>
      </c>
      <c r="Q33" s="3" t="s">
        <v>392</v>
      </c>
      <c r="R33" s="3" t="s">
        <v>393</v>
      </c>
      <c r="S33" s="3" t="s">
        <v>225</v>
      </c>
      <c r="T33" t="s">
        <v>17</v>
      </c>
      <c r="U33" s="3" t="s">
        <v>131</v>
      </c>
      <c r="V33" t="s">
        <v>17</v>
      </c>
      <c r="W33" s="3"/>
      <c r="X33" s="3"/>
      <c r="Y33" s="3"/>
      <c r="Z33" s="3"/>
      <c r="AA33" s="3"/>
      <c r="AB33" s="3"/>
      <c r="AC33" s="3" t="s">
        <v>716</v>
      </c>
    </row>
    <row r="34" spans="1:29" ht="72" x14ac:dyDescent="0.3">
      <c r="A34" s="3" t="str">
        <f t="shared" si="0"/>
        <v>AB_ITNIC_REQ_EMPSHARESCHEME_021</v>
      </c>
      <c r="B34" s="3" t="s">
        <v>21</v>
      </c>
      <c r="C34" t="s">
        <v>22</v>
      </c>
      <c r="D34" s="3" t="s">
        <v>352</v>
      </c>
      <c r="E34" s="3" t="s">
        <v>25</v>
      </c>
      <c r="F34" s="3">
        <v>3</v>
      </c>
      <c r="G34" s="3">
        <v>0</v>
      </c>
      <c r="H34" s="3" t="s">
        <v>17</v>
      </c>
      <c r="I34" s="3" t="s">
        <v>394</v>
      </c>
      <c r="J34" s="3" t="s">
        <v>318</v>
      </c>
      <c r="K34" s="3">
        <v>1</v>
      </c>
      <c r="L34" s="3" t="s">
        <v>427</v>
      </c>
      <c r="M34" s="3" t="str">
        <f>IF(B34="","","AB"&amp;"_"&amp;IFERROR(VLOOKUP(B34,LOOKUPS!$K$2:$L$10,2,FALSE),"UNK")&amp;"_"&amp;IFERROR(VLOOKUP(C34,LOOKUPS!$N$2:$O$10,2,FALSE),"UNK")&amp;"_"&amp;UPPER(L34))</f>
        <v>AB_ITNIC_REQ_EMPSHARESCHEME</v>
      </c>
      <c r="N34" s="3">
        <f>IF(M34="","",COUNTIF($M$2:M34,M34))</f>
        <v>21</v>
      </c>
      <c r="O34" s="3" t="s">
        <v>717</v>
      </c>
      <c r="P34" s="3">
        <v>2</v>
      </c>
      <c r="Q34" s="3" t="s">
        <v>395</v>
      </c>
      <c r="R34" s="3" t="s">
        <v>392</v>
      </c>
      <c r="S34" s="3" t="s">
        <v>131</v>
      </c>
      <c r="T34" t="s">
        <v>17</v>
      </c>
      <c r="U34" s="3" t="s">
        <v>225</v>
      </c>
      <c r="V34" t="s">
        <v>17</v>
      </c>
      <c r="W34" s="3"/>
      <c r="X34" s="3"/>
      <c r="Y34" s="3"/>
      <c r="Z34" s="3"/>
      <c r="AA34" s="3"/>
      <c r="AB34" s="3"/>
      <c r="AC34" s="3" t="s">
        <v>396</v>
      </c>
    </row>
    <row r="35" spans="1:29" ht="57.6" x14ac:dyDescent="0.3">
      <c r="A35" s="3" t="str">
        <f t="shared" si="0"/>
        <v>AB_ITNIC_REQ_EMPSHARESCHEME_022</v>
      </c>
      <c r="B35" s="3" t="s">
        <v>21</v>
      </c>
      <c r="C35" t="s">
        <v>22</v>
      </c>
      <c r="D35" s="3" t="s">
        <v>352</v>
      </c>
      <c r="E35" s="3" t="s">
        <v>25</v>
      </c>
      <c r="F35" s="3">
        <v>3</v>
      </c>
      <c r="G35" s="3">
        <v>0</v>
      </c>
      <c r="H35" s="3" t="s">
        <v>17</v>
      </c>
      <c r="I35" s="3" t="s">
        <v>397</v>
      </c>
      <c r="J35" s="3" t="s">
        <v>318</v>
      </c>
      <c r="K35" s="3">
        <v>1</v>
      </c>
      <c r="L35" s="3" t="s">
        <v>427</v>
      </c>
      <c r="M35" s="3" t="str">
        <f>IF(B35="","","AB"&amp;"_"&amp;IFERROR(VLOOKUP(B35,LOOKUPS!$K$2:$L$10,2,FALSE),"UNK")&amp;"_"&amp;IFERROR(VLOOKUP(C35,LOOKUPS!$N$2:$O$10,2,FALSE),"UNK")&amp;"_"&amp;UPPER(L35))</f>
        <v>AB_ITNIC_REQ_EMPSHARESCHEME</v>
      </c>
      <c r="N35" s="3">
        <f>IF(M35="","",COUNTIF($M$2:M35,M35))</f>
        <v>22</v>
      </c>
      <c r="O35" s="3" t="s">
        <v>718</v>
      </c>
      <c r="P35" s="3">
        <v>2</v>
      </c>
      <c r="Q35" s="3" t="s">
        <v>32</v>
      </c>
      <c r="R35" s="3" t="s">
        <v>398</v>
      </c>
      <c r="S35" s="3" t="s">
        <v>225</v>
      </c>
      <c r="T35" t="s">
        <v>17</v>
      </c>
      <c r="U35" s="3" t="s">
        <v>131</v>
      </c>
      <c r="V35" t="s">
        <v>17</v>
      </c>
      <c r="W35" s="3"/>
      <c r="X35" s="3"/>
      <c r="Y35" s="3"/>
      <c r="Z35" s="3"/>
      <c r="AA35" s="3"/>
      <c r="AB35" s="3"/>
      <c r="AC35" s="3" t="s">
        <v>399</v>
      </c>
    </row>
    <row r="36" spans="1:29" ht="57.6" x14ac:dyDescent="0.3">
      <c r="A36" s="3" t="str">
        <f t="shared" si="0"/>
        <v>AB_ITNIC_REQ_EMPSHARESCHEME_023</v>
      </c>
      <c r="B36" s="3" t="s">
        <v>21</v>
      </c>
      <c r="C36" t="s">
        <v>22</v>
      </c>
      <c r="D36" s="3" t="s">
        <v>352</v>
      </c>
      <c r="E36" s="3" t="s">
        <v>25</v>
      </c>
      <c r="F36" s="3">
        <v>3</v>
      </c>
      <c r="G36" s="3">
        <v>0</v>
      </c>
      <c r="H36" s="3" t="s">
        <v>17</v>
      </c>
      <c r="I36" s="3" t="s">
        <v>400</v>
      </c>
      <c r="J36" s="3" t="s">
        <v>318</v>
      </c>
      <c r="K36" s="3">
        <v>1</v>
      </c>
      <c r="L36" s="3" t="s">
        <v>427</v>
      </c>
      <c r="M36" s="3" t="str">
        <f>IF(B36="","","AB"&amp;"_"&amp;IFERROR(VLOOKUP(B36,LOOKUPS!$K$2:$L$10,2,FALSE),"UNK")&amp;"_"&amp;IFERROR(VLOOKUP(C36,LOOKUPS!$N$2:$O$10,2,FALSE),"UNK")&amp;"_"&amp;UPPER(L36))</f>
        <v>AB_ITNIC_REQ_EMPSHARESCHEME</v>
      </c>
      <c r="N36" s="3">
        <f>IF(M36="","",COUNTIF($M$2:M36,M36))</f>
        <v>23</v>
      </c>
      <c r="O36" s="3" t="s">
        <v>719</v>
      </c>
      <c r="P36" s="3">
        <v>2</v>
      </c>
      <c r="Q36" s="3" t="s">
        <v>401</v>
      </c>
      <c r="R36" s="3" t="s">
        <v>393</v>
      </c>
      <c r="S36" s="3" t="s">
        <v>131</v>
      </c>
      <c r="T36" t="s">
        <v>17</v>
      </c>
      <c r="U36" s="3" t="s">
        <v>225</v>
      </c>
      <c r="V36" t="s">
        <v>17</v>
      </c>
      <c r="W36" s="3"/>
      <c r="X36" s="3"/>
      <c r="Y36" s="3"/>
      <c r="Z36" s="3"/>
      <c r="AA36" s="3"/>
      <c r="AB36" s="3"/>
      <c r="AC36" s="3" t="s">
        <v>402</v>
      </c>
    </row>
    <row r="37" spans="1:29" ht="57.6" x14ac:dyDescent="0.3">
      <c r="A37" s="3" t="str">
        <f t="shared" si="0"/>
        <v>AB_ITNIC_REQ_EMPSHARESCHEME_024</v>
      </c>
      <c r="B37" s="3" t="s">
        <v>21</v>
      </c>
      <c r="C37" t="s">
        <v>22</v>
      </c>
      <c r="D37" s="3" t="s">
        <v>352</v>
      </c>
      <c r="E37" s="3" t="s">
        <v>25</v>
      </c>
      <c r="F37" s="3">
        <v>3</v>
      </c>
      <c r="G37" s="3">
        <v>0</v>
      </c>
      <c r="H37" s="3" t="s">
        <v>17</v>
      </c>
      <c r="I37" s="3" t="s">
        <v>403</v>
      </c>
      <c r="J37" s="3" t="s">
        <v>318</v>
      </c>
      <c r="K37" s="3">
        <v>1</v>
      </c>
      <c r="L37" s="3" t="s">
        <v>427</v>
      </c>
      <c r="M37" s="3" t="str">
        <f>IF(B37="","","AB"&amp;"_"&amp;IFERROR(VLOOKUP(B37,LOOKUPS!$K$2:$L$10,2,FALSE),"UNK")&amp;"_"&amp;IFERROR(VLOOKUP(C37,LOOKUPS!$N$2:$O$10,2,FALSE),"UNK")&amp;"_"&amp;UPPER(L37))</f>
        <v>AB_ITNIC_REQ_EMPSHARESCHEME</v>
      </c>
      <c r="N37" s="3">
        <f>IF(M37="","",COUNTIF($M$2:M37,M37))</f>
        <v>24</v>
      </c>
      <c r="O37" s="3" t="s">
        <v>753</v>
      </c>
      <c r="P37" s="3">
        <v>2</v>
      </c>
      <c r="Q37" s="3" t="s">
        <v>404</v>
      </c>
      <c r="R37" s="3" t="s">
        <v>405</v>
      </c>
      <c r="S37" s="3" t="s">
        <v>225</v>
      </c>
      <c r="T37" t="s">
        <v>17</v>
      </c>
      <c r="U37" s="3" t="s">
        <v>131</v>
      </c>
      <c r="V37" t="s">
        <v>17</v>
      </c>
      <c r="W37" s="3"/>
      <c r="X37" s="3"/>
      <c r="Y37" s="3"/>
      <c r="Z37" s="3"/>
      <c r="AA37" s="3"/>
      <c r="AB37" s="3"/>
      <c r="AC37" s="3" t="s">
        <v>764</v>
      </c>
    </row>
    <row r="38" spans="1:29" ht="43.2" x14ac:dyDescent="0.3">
      <c r="A38" s="3" t="str">
        <f t="shared" si="0"/>
        <v>AB_ITNIC_REQ_EMPSHARESCHEME_025</v>
      </c>
      <c r="B38" s="3" t="s">
        <v>21</v>
      </c>
      <c r="C38" t="s">
        <v>22</v>
      </c>
      <c r="D38" s="3" t="s">
        <v>352</v>
      </c>
      <c r="E38" s="3" t="s">
        <v>25</v>
      </c>
      <c r="F38" s="3">
        <v>3</v>
      </c>
      <c r="G38" s="3">
        <v>0</v>
      </c>
      <c r="H38" s="3" t="s">
        <v>17</v>
      </c>
      <c r="I38" s="3" t="s">
        <v>406</v>
      </c>
      <c r="J38" s="3" t="s">
        <v>318</v>
      </c>
      <c r="K38" s="3">
        <v>1</v>
      </c>
      <c r="L38" s="3" t="s">
        <v>427</v>
      </c>
      <c r="M38" s="3" t="str">
        <f>IF(B38="","","AB"&amp;"_"&amp;IFERROR(VLOOKUP(B38,LOOKUPS!$K$2:$L$10,2,FALSE),"UNK")&amp;"_"&amp;IFERROR(VLOOKUP(C38,LOOKUPS!$N$2:$O$10,2,FALSE),"UNK")&amp;"_"&amp;UPPER(L38))</f>
        <v>AB_ITNIC_REQ_EMPSHARESCHEME</v>
      </c>
      <c r="N38" s="3">
        <f>IF(M38="","",COUNTIF($M$2:M38,M38))</f>
        <v>25</v>
      </c>
      <c r="O38" s="3" t="s">
        <v>754</v>
      </c>
      <c r="P38" s="3">
        <v>2</v>
      </c>
      <c r="Q38" s="3" t="s">
        <v>407</v>
      </c>
      <c r="R38" s="3" t="s">
        <v>408</v>
      </c>
      <c r="S38" s="3" t="s">
        <v>131</v>
      </c>
      <c r="T38" t="s">
        <v>17</v>
      </c>
      <c r="U38" s="3" t="s">
        <v>225</v>
      </c>
      <c r="V38" t="s">
        <v>17</v>
      </c>
      <c r="W38" s="3"/>
      <c r="X38" s="3"/>
      <c r="Y38" s="3"/>
      <c r="Z38" s="3"/>
      <c r="AA38" s="3"/>
      <c r="AB38" s="3"/>
      <c r="AC38" s="3" t="s">
        <v>765</v>
      </c>
    </row>
    <row r="39" spans="1:29" ht="57.6" x14ac:dyDescent="0.3">
      <c r="A39" s="3" t="str">
        <f t="shared" si="0"/>
        <v>AB_ITNIC_REQ_EMPSHARESCHEME_026</v>
      </c>
      <c r="B39" s="3" t="s">
        <v>21</v>
      </c>
      <c r="C39" t="s">
        <v>22</v>
      </c>
      <c r="D39" s="3" t="s">
        <v>352</v>
      </c>
      <c r="E39" s="3" t="s">
        <v>25</v>
      </c>
      <c r="F39" s="3">
        <v>3</v>
      </c>
      <c r="G39" s="3">
        <v>0</v>
      </c>
      <c r="H39" s="3" t="s">
        <v>17</v>
      </c>
      <c r="I39" s="3" t="s">
        <v>409</v>
      </c>
      <c r="J39" s="3" t="s">
        <v>318</v>
      </c>
      <c r="K39" s="3">
        <v>1</v>
      </c>
      <c r="L39" s="3" t="s">
        <v>427</v>
      </c>
      <c r="M39" s="3" t="str">
        <f>IF(B39="","","AB"&amp;"_"&amp;IFERROR(VLOOKUP(B39,LOOKUPS!$K$2:$L$10,2,FALSE),"UNK")&amp;"_"&amp;IFERROR(VLOOKUP(C39,LOOKUPS!$N$2:$O$10,2,FALSE),"UNK")&amp;"_"&amp;UPPER(L39))</f>
        <v>AB_ITNIC_REQ_EMPSHARESCHEME</v>
      </c>
      <c r="N39" s="3">
        <f>IF(M39="","",COUNTIF($M$2:M39,M39))</f>
        <v>26</v>
      </c>
      <c r="O39" s="3" t="s">
        <v>755</v>
      </c>
      <c r="P39" s="3">
        <v>2</v>
      </c>
      <c r="Q39" s="3" t="s">
        <v>410</v>
      </c>
      <c r="R39" s="3" t="s">
        <v>411</v>
      </c>
      <c r="S39" s="3" t="s">
        <v>225</v>
      </c>
      <c r="T39" t="s">
        <v>17</v>
      </c>
      <c r="U39" s="3" t="s">
        <v>131</v>
      </c>
      <c r="V39" t="s">
        <v>17</v>
      </c>
      <c r="W39" s="3"/>
      <c r="X39" s="3"/>
      <c r="Y39" s="3"/>
      <c r="Z39" s="3"/>
      <c r="AA39" s="3"/>
      <c r="AB39" s="3"/>
      <c r="AC39" s="3" t="s">
        <v>766</v>
      </c>
    </row>
    <row r="40" spans="1:29" ht="43.2" x14ac:dyDescent="0.3">
      <c r="A40" s="3" t="str">
        <f t="shared" si="0"/>
        <v>AB_ITNIC_REQ_EMPSHARESCHEME_027</v>
      </c>
      <c r="B40" s="3" t="s">
        <v>21</v>
      </c>
      <c r="C40" t="s">
        <v>22</v>
      </c>
      <c r="D40" s="3" t="s">
        <v>352</v>
      </c>
      <c r="E40" s="3" t="s">
        <v>25</v>
      </c>
      <c r="F40" s="3">
        <v>3</v>
      </c>
      <c r="G40" s="3">
        <v>0</v>
      </c>
      <c r="H40" s="3" t="s">
        <v>17</v>
      </c>
      <c r="I40" s="3" t="s">
        <v>412</v>
      </c>
      <c r="J40" s="3" t="s">
        <v>318</v>
      </c>
      <c r="K40" s="3">
        <v>1</v>
      </c>
      <c r="L40" s="3" t="s">
        <v>427</v>
      </c>
      <c r="M40" s="3" t="str">
        <f>IF(B40="","","AB"&amp;"_"&amp;IFERROR(VLOOKUP(B40,LOOKUPS!$K$2:$L$10,2,FALSE),"UNK")&amp;"_"&amp;IFERROR(VLOOKUP(C40,LOOKUPS!$N$2:$O$10,2,FALSE),"UNK")&amp;"_"&amp;UPPER(L40))</f>
        <v>AB_ITNIC_REQ_EMPSHARESCHEME</v>
      </c>
      <c r="N40" s="3">
        <f>IF(M40="","",COUNTIF($M$2:M40,M40))</f>
        <v>27</v>
      </c>
      <c r="O40" s="3" t="s">
        <v>756</v>
      </c>
      <c r="P40" s="3">
        <v>2</v>
      </c>
      <c r="Q40" s="3">
        <v>3600</v>
      </c>
      <c r="R40" s="3" t="s">
        <v>413</v>
      </c>
      <c r="S40" s="3" t="s">
        <v>131</v>
      </c>
      <c r="T40" t="s">
        <v>17</v>
      </c>
      <c r="U40" s="3" t="s">
        <v>225</v>
      </c>
      <c r="V40" t="s">
        <v>17</v>
      </c>
      <c r="W40" s="3"/>
      <c r="X40" s="3"/>
      <c r="Y40" s="3"/>
      <c r="Z40" s="3"/>
      <c r="AA40" s="3"/>
      <c r="AB40" s="3"/>
      <c r="AC40" s="3" t="s">
        <v>767</v>
      </c>
    </row>
    <row r="41" spans="1:29" ht="43.2" x14ac:dyDescent="0.3">
      <c r="A41" s="3" t="str">
        <f t="shared" si="0"/>
        <v>AB_ITNIC_REQ_EMPSHARESCHEME_028</v>
      </c>
      <c r="B41" s="3" t="s">
        <v>21</v>
      </c>
      <c r="C41" t="s">
        <v>22</v>
      </c>
      <c r="D41" s="3" t="s">
        <v>352</v>
      </c>
      <c r="E41" s="3" t="s">
        <v>25</v>
      </c>
      <c r="F41" s="3">
        <v>3</v>
      </c>
      <c r="G41" s="3">
        <v>0</v>
      </c>
      <c r="H41" s="3" t="s">
        <v>17</v>
      </c>
      <c r="I41" s="3" t="s">
        <v>414</v>
      </c>
      <c r="J41" s="3" t="s">
        <v>318</v>
      </c>
      <c r="K41" s="3">
        <v>1</v>
      </c>
      <c r="L41" s="3" t="s">
        <v>427</v>
      </c>
      <c r="M41" s="3" t="str">
        <f>IF(B41="","","AB"&amp;"_"&amp;IFERROR(VLOOKUP(B41,LOOKUPS!$K$2:$L$10,2,FALSE),"UNK")&amp;"_"&amp;IFERROR(VLOOKUP(C41,LOOKUPS!$N$2:$O$10,2,FALSE),"UNK")&amp;"_"&amp;UPPER(L41))</f>
        <v>AB_ITNIC_REQ_EMPSHARESCHEME</v>
      </c>
      <c r="N41" s="3">
        <f>IF(M41="","",COUNTIF($M$2:M41,M41))</f>
        <v>28</v>
      </c>
      <c r="O41" s="3" t="s">
        <v>757</v>
      </c>
      <c r="P41" s="3">
        <v>2</v>
      </c>
      <c r="Q41" s="3">
        <v>0.1</v>
      </c>
      <c r="R41" s="3">
        <v>1800</v>
      </c>
      <c r="S41" s="3" t="s">
        <v>225</v>
      </c>
      <c r="T41" t="s">
        <v>17</v>
      </c>
      <c r="U41" s="3" t="s">
        <v>131</v>
      </c>
      <c r="V41" t="s">
        <v>17</v>
      </c>
      <c r="W41" s="3"/>
      <c r="X41" s="3"/>
      <c r="Y41" s="3"/>
      <c r="Z41" s="3"/>
      <c r="AA41" s="3"/>
      <c r="AB41" s="3"/>
      <c r="AC41" s="3" t="s">
        <v>415</v>
      </c>
    </row>
    <row r="42" spans="1:29" ht="28.8" x14ac:dyDescent="0.3">
      <c r="A42" s="3" t="str">
        <f t="shared" si="0"/>
        <v>AB_ITNIC_REQ_EMPSHARESCHEME_029</v>
      </c>
      <c r="B42" s="3" t="s">
        <v>21</v>
      </c>
      <c r="C42" t="s">
        <v>22</v>
      </c>
      <c r="D42" s="3" t="s">
        <v>352</v>
      </c>
      <c r="E42" s="3" t="s">
        <v>25</v>
      </c>
      <c r="F42" s="3">
        <v>3</v>
      </c>
      <c r="G42" s="3">
        <v>0</v>
      </c>
      <c r="H42" s="3" t="s">
        <v>17</v>
      </c>
      <c r="I42" s="3" t="s">
        <v>416</v>
      </c>
      <c r="J42" s="3" t="s">
        <v>318</v>
      </c>
      <c r="K42" s="3">
        <v>1</v>
      </c>
      <c r="L42" s="3" t="s">
        <v>427</v>
      </c>
      <c r="M42" s="3" t="str">
        <f>IF(B42="","","AB"&amp;"_"&amp;IFERROR(VLOOKUP(B42,LOOKUPS!$K$2:$L$10,2,FALSE),"UNK")&amp;"_"&amp;IFERROR(VLOOKUP(C42,LOOKUPS!$N$2:$O$10,2,FALSE),"UNK")&amp;"_"&amp;UPPER(L42))</f>
        <v>AB_ITNIC_REQ_EMPSHARESCHEME</v>
      </c>
      <c r="N42" s="3">
        <f>IF(M42="","",COUNTIF($M$2:M42,M42))</f>
        <v>29</v>
      </c>
      <c r="O42" s="3" t="s">
        <v>758</v>
      </c>
      <c r="P42" s="3">
        <v>2</v>
      </c>
      <c r="Q42" s="3">
        <v>2</v>
      </c>
      <c r="R42" s="3">
        <v>1</v>
      </c>
      <c r="S42" s="3" t="s">
        <v>131</v>
      </c>
      <c r="T42" t="s">
        <v>17</v>
      </c>
      <c r="U42" s="3" t="s">
        <v>225</v>
      </c>
      <c r="V42" t="s">
        <v>17</v>
      </c>
      <c r="W42" s="3"/>
      <c r="X42" s="3"/>
      <c r="Y42" s="3"/>
      <c r="Z42" s="3"/>
      <c r="AA42" s="3"/>
      <c r="AB42" s="3"/>
      <c r="AC42" s="3" t="s">
        <v>768</v>
      </c>
    </row>
    <row r="43" spans="1:29" ht="28.8" x14ac:dyDescent="0.3">
      <c r="A43" s="3" t="str">
        <f t="shared" si="0"/>
        <v>AB_ITNIC_REQ_EMPSHARESCHEME_030</v>
      </c>
      <c r="B43" s="3" t="s">
        <v>21</v>
      </c>
      <c r="C43" t="s">
        <v>22</v>
      </c>
      <c r="D43" s="3" t="s">
        <v>352</v>
      </c>
      <c r="E43" s="3" t="s">
        <v>25</v>
      </c>
      <c r="F43" s="3">
        <v>3</v>
      </c>
      <c r="G43" s="3">
        <v>0</v>
      </c>
      <c r="H43" s="3" t="s">
        <v>17</v>
      </c>
      <c r="I43" s="3" t="s">
        <v>417</v>
      </c>
      <c r="J43" s="3" t="s">
        <v>318</v>
      </c>
      <c r="K43" s="3">
        <v>1</v>
      </c>
      <c r="L43" s="3" t="s">
        <v>427</v>
      </c>
      <c r="M43" s="3" t="str">
        <f>IF(B43="","","AB"&amp;"_"&amp;IFERROR(VLOOKUP(B43,LOOKUPS!$K$2:$L$10,2,FALSE),"UNK")&amp;"_"&amp;IFERROR(VLOOKUP(C43,LOOKUPS!$N$2:$O$10,2,FALSE),"UNK")&amp;"_"&amp;UPPER(L43))</f>
        <v>AB_ITNIC_REQ_EMPSHARESCHEME</v>
      </c>
      <c r="N43" s="3">
        <f>IF(M43="","",COUNTIF($M$2:M43,M43))</f>
        <v>30</v>
      </c>
      <c r="O43" s="3" t="s">
        <v>759</v>
      </c>
      <c r="P43" s="3">
        <v>2</v>
      </c>
      <c r="Q43" s="3" t="s">
        <v>359</v>
      </c>
      <c r="R43" s="3" t="s">
        <v>418</v>
      </c>
      <c r="S43" s="3" t="s">
        <v>225</v>
      </c>
      <c r="T43" t="s">
        <v>17</v>
      </c>
      <c r="U43" s="3" t="s">
        <v>131</v>
      </c>
      <c r="V43" t="s">
        <v>17</v>
      </c>
      <c r="W43" s="3"/>
      <c r="X43" s="3"/>
      <c r="Y43" s="3"/>
      <c r="Z43" s="3"/>
      <c r="AA43" s="3"/>
      <c r="AB43" s="3"/>
      <c r="AC43" s="3" t="s">
        <v>769</v>
      </c>
    </row>
    <row r="44" spans="1:29" ht="43.2" x14ac:dyDescent="0.3">
      <c r="A44" s="3" t="str">
        <f t="shared" si="0"/>
        <v>AB_ITNIC_REQ_EMPSHARESCHEME_031</v>
      </c>
      <c r="B44" s="3" t="s">
        <v>21</v>
      </c>
      <c r="C44" t="s">
        <v>22</v>
      </c>
      <c r="D44" s="3" t="s">
        <v>352</v>
      </c>
      <c r="E44" s="3" t="s">
        <v>25</v>
      </c>
      <c r="F44" s="3">
        <v>3</v>
      </c>
      <c r="G44" s="3">
        <v>0</v>
      </c>
      <c r="H44" s="3" t="s">
        <v>17</v>
      </c>
      <c r="I44" s="3" t="s">
        <v>419</v>
      </c>
      <c r="J44" s="3" t="s">
        <v>318</v>
      </c>
      <c r="K44" s="3">
        <v>1</v>
      </c>
      <c r="L44" s="3" t="s">
        <v>427</v>
      </c>
      <c r="M44" s="3" t="str">
        <f>IF(B44="","","AB"&amp;"_"&amp;IFERROR(VLOOKUP(B44,LOOKUPS!$K$2:$L$10,2,FALSE),"UNK")&amp;"_"&amp;IFERROR(VLOOKUP(C44,LOOKUPS!$N$2:$O$10,2,FALSE),"UNK")&amp;"_"&amp;UPPER(L44))</f>
        <v>AB_ITNIC_REQ_EMPSHARESCHEME</v>
      </c>
      <c r="N44" s="3">
        <f>IF(M44="","",COUNTIF($M$2:M44,M44))</f>
        <v>31</v>
      </c>
      <c r="O44" s="3" t="s">
        <v>760</v>
      </c>
      <c r="P44" s="3">
        <v>2</v>
      </c>
      <c r="Q44" s="3">
        <v>5</v>
      </c>
      <c r="R44" s="3" t="s">
        <v>401</v>
      </c>
      <c r="S44" s="3" t="s">
        <v>131</v>
      </c>
      <c r="T44" t="s">
        <v>17</v>
      </c>
      <c r="U44" s="3" t="s">
        <v>225</v>
      </c>
      <c r="V44" t="s">
        <v>17</v>
      </c>
      <c r="W44" s="3"/>
      <c r="X44" s="3"/>
      <c r="Y44" s="3"/>
      <c r="Z44" s="3"/>
      <c r="AA44" s="3"/>
      <c r="AB44" s="3"/>
      <c r="AC44" s="3" t="s">
        <v>770</v>
      </c>
    </row>
    <row r="45" spans="1:29" ht="28.8" x14ac:dyDescent="0.3">
      <c r="A45" s="3" t="str">
        <f t="shared" si="0"/>
        <v>AB_ITNIC_REQ_EMPSHARESCHEME_032</v>
      </c>
      <c r="B45" s="3" t="s">
        <v>21</v>
      </c>
      <c r="C45" t="s">
        <v>22</v>
      </c>
      <c r="D45" s="3" t="s">
        <v>352</v>
      </c>
      <c r="E45" s="3" t="s">
        <v>25</v>
      </c>
      <c r="F45" s="3">
        <v>3</v>
      </c>
      <c r="G45" s="3">
        <v>0</v>
      </c>
      <c r="H45" s="3" t="s">
        <v>17</v>
      </c>
      <c r="I45" s="3" t="s">
        <v>420</v>
      </c>
      <c r="J45" s="3" t="s">
        <v>318</v>
      </c>
      <c r="K45" s="3">
        <v>1</v>
      </c>
      <c r="L45" s="3" t="s">
        <v>427</v>
      </c>
      <c r="M45" s="3" t="str">
        <f>IF(B45="","","AB"&amp;"_"&amp;IFERROR(VLOOKUP(B45,LOOKUPS!$K$2:$L$10,2,FALSE),"UNK")&amp;"_"&amp;IFERROR(VLOOKUP(C45,LOOKUPS!$N$2:$O$10,2,FALSE),"UNK")&amp;"_"&amp;UPPER(L45))</f>
        <v>AB_ITNIC_REQ_EMPSHARESCHEME</v>
      </c>
      <c r="N45" s="3">
        <f>IF(M45="","",COUNTIF($M$2:M45,M45))</f>
        <v>32</v>
      </c>
      <c r="O45" s="3" t="s">
        <v>761</v>
      </c>
      <c r="P45" s="3">
        <v>2</v>
      </c>
      <c r="Q45" s="3" t="s">
        <v>421</v>
      </c>
      <c r="R45" s="3">
        <v>3</v>
      </c>
      <c r="S45" s="3" t="s">
        <v>225</v>
      </c>
      <c r="T45" t="s">
        <v>17</v>
      </c>
      <c r="U45" s="3" t="s">
        <v>131</v>
      </c>
      <c r="V45" t="s">
        <v>17</v>
      </c>
      <c r="W45" s="3"/>
      <c r="X45" s="3"/>
      <c r="Y45" s="3"/>
      <c r="Z45" s="3"/>
      <c r="AA45" s="3"/>
      <c r="AB45" s="3"/>
      <c r="AC45" s="3" t="s">
        <v>771</v>
      </c>
    </row>
    <row r="46" spans="1:29" ht="43.2" x14ac:dyDescent="0.3">
      <c r="A46" s="3" t="str">
        <f t="shared" si="0"/>
        <v>AB_ITNIC_REQ_EMPSHARESCHEME_033</v>
      </c>
      <c r="B46" s="3" t="s">
        <v>21</v>
      </c>
      <c r="C46" t="s">
        <v>22</v>
      </c>
      <c r="D46" s="3" t="s">
        <v>352</v>
      </c>
      <c r="E46" s="3" t="s">
        <v>25</v>
      </c>
      <c r="F46" s="3">
        <v>3</v>
      </c>
      <c r="G46" s="3">
        <v>0</v>
      </c>
      <c r="H46" s="3" t="s">
        <v>17</v>
      </c>
      <c r="I46" s="3" t="s">
        <v>422</v>
      </c>
      <c r="J46" s="3" t="s">
        <v>318</v>
      </c>
      <c r="K46" s="3">
        <v>1</v>
      </c>
      <c r="L46" s="3" t="s">
        <v>427</v>
      </c>
      <c r="M46" s="3" t="str">
        <f>IF(B46="","","AB"&amp;"_"&amp;IFERROR(VLOOKUP(B46,LOOKUPS!$K$2:$L$10,2,FALSE),"UNK")&amp;"_"&amp;IFERROR(VLOOKUP(C46,LOOKUPS!$N$2:$O$10,2,FALSE),"UNK")&amp;"_"&amp;UPPER(L46))</f>
        <v>AB_ITNIC_REQ_EMPSHARESCHEME</v>
      </c>
      <c r="N46" s="3">
        <f>IF(M46="","",COUNTIF($M$2:M46,M46))</f>
        <v>33</v>
      </c>
      <c r="O46" s="3" t="s">
        <v>762</v>
      </c>
      <c r="P46" s="3">
        <v>2</v>
      </c>
      <c r="Q46" s="3" t="s">
        <v>423</v>
      </c>
      <c r="R46" s="3" t="s">
        <v>421</v>
      </c>
      <c r="S46" s="3" t="s">
        <v>131</v>
      </c>
      <c r="T46" t="s">
        <v>17</v>
      </c>
      <c r="U46" s="3" t="s">
        <v>225</v>
      </c>
      <c r="V46" t="s">
        <v>17</v>
      </c>
      <c r="W46" s="3"/>
      <c r="X46" s="3"/>
      <c r="Y46" s="3"/>
      <c r="Z46" s="3"/>
      <c r="AA46" s="3"/>
      <c r="AB46" s="3"/>
      <c r="AC46" s="3" t="s">
        <v>424</v>
      </c>
    </row>
    <row r="47" spans="1:29" ht="100.8" x14ac:dyDescent="0.3">
      <c r="A47" s="3" t="str">
        <f t="shared" si="0"/>
        <v>AB_ITNIC_REQ_EMPSHARESCHEME_034</v>
      </c>
      <c r="B47" s="3" t="s">
        <v>21</v>
      </c>
      <c r="C47" t="s">
        <v>22</v>
      </c>
      <c r="D47" s="3" t="s">
        <v>352</v>
      </c>
      <c r="E47" s="3" t="s">
        <v>25</v>
      </c>
      <c r="F47" s="3">
        <v>3</v>
      </c>
      <c r="G47" s="3">
        <v>0</v>
      </c>
      <c r="H47" s="3" t="s">
        <v>17</v>
      </c>
      <c r="I47" s="3" t="s">
        <v>425</v>
      </c>
      <c r="J47" s="3" t="s">
        <v>318</v>
      </c>
      <c r="K47" s="3">
        <v>1</v>
      </c>
      <c r="L47" s="3" t="s">
        <v>427</v>
      </c>
      <c r="M47" s="3" t="str">
        <f>IF(B47="","","AB"&amp;"_"&amp;IFERROR(VLOOKUP(B47,LOOKUPS!$K$2:$L$10,2,FALSE),"UNK")&amp;"_"&amp;IFERROR(VLOOKUP(C47,LOOKUPS!$N$2:$O$10,2,FALSE),"UNK")&amp;"_"&amp;UPPER(L47))</f>
        <v>AB_ITNIC_REQ_EMPSHARESCHEME</v>
      </c>
      <c r="N47" s="3">
        <f>IF(M47="","",COUNTIF($M$2:M47,M47))</f>
        <v>34</v>
      </c>
      <c r="O47" s="3" t="s">
        <v>763</v>
      </c>
      <c r="P47" s="3">
        <v>2</v>
      </c>
      <c r="Q47" s="3" t="s">
        <v>357</v>
      </c>
      <c r="R47" s="3" t="s">
        <v>356</v>
      </c>
      <c r="S47" s="3" t="s">
        <v>225</v>
      </c>
      <c r="T47" t="s">
        <v>17</v>
      </c>
      <c r="U47" s="3" t="s">
        <v>131</v>
      </c>
      <c r="V47" t="s">
        <v>17</v>
      </c>
      <c r="W47" s="3"/>
      <c r="X47" s="3"/>
      <c r="Y47" s="3"/>
      <c r="Z47" s="3"/>
      <c r="AA47" s="3"/>
      <c r="AB47" s="3"/>
      <c r="AC47" s="3" t="s">
        <v>426</v>
      </c>
    </row>
    <row r="48" spans="1:29" ht="28.8" x14ac:dyDescent="0.3">
      <c r="A48" s="3" t="str">
        <f t="shared" si="0"/>
        <v>AB_ITNIC_CALC_DISALLOW_001</v>
      </c>
      <c r="B48" t="s">
        <v>21</v>
      </c>
      <c r="C48" t="s">
        <v>40</v>
      </c>
      <c r="D48" t="s">
        <v>868</v>
      </c>
      <c r="E48" t="s">
        <v>25</v>
      </c>
      <c r="F48">
        <v>3</v>
      </c>
      <c r="G48" t="s">
        <v>16</v>
      </c>
      <c r="H48" t="s">
        <v>17</v>
      </c>
      <c r="I48" t="s">
        <v>885</v>
      </c>
      <c r="J48" t="s">
        <v>870</v>
      </c>
      <c r="K48">
        <v>1</v>
      </c>
      <c r="L48" t="s">
        <v>871</v>
      </c>
      <c r="M48" s="3" t="str">
        <f>IF(B48="","","AB"&amp;"_"&amp;IFERROR(VLOOKUP(B48,LOOKUPS!$K$2:$L$10,2,FALSE),"UNK")&amp;"_"&amp;IFERROR(VLOOKUP(C48,LOOKUPS!$N$2:$O$10,2,FALSE),"UNK")&amp;"_"&amp;UPPER(L48))</f>
        <v>AB_ITNIC_CALC_DISALLOW</v>
      </c>
      <c r="N48" s="3">
        <f>IF(M48="","",COUNTIF($M$2:M48,M48))</f>
        <v>1</v>
      </c>
      <c r="O48" t="s">
        <v>942</v>
      </c>
      <c r="P48">
        <v>1</v>
      </c>
      <c r="Q48" s="4" t="s">
        <v>943</v>
      </c>
      <c r="R48" s="4" t="s">
        <v>944</v>
      </c>
      <c r="S48" t="s">
        <v>225</v>
      </c>
      <c r="T48" t="s">
        <v>17</v>
      </c>
      <c r="U48" s="5"/>
      <c r="X48" s="4"/>
      <c r="AA48" s="3"/>
      <c r="AC48" s="5" t="s">
        <v>945</v>
      </c>
    </row>
    <row r="49" spans="1:29" ht="28.8" x14ac:dyDescent="0.3">
      <c r="A49" s="3" t="str">
        <f t="shared" si="0"/>
        <v>AB_ITNIC_CALC_DISALLOW_002</v>
      </c>
      <c r="B49" t="s">
        <v>21</v>
      </c>
      <c r="C49" t="s">
        <v>40</v>
      </c>
      <c r="D49" t="s">
        <v>868</v>
      </c>
      <c r="E49" t="s">
        <v>25</v>
      </c>
      <c r="F49">
        <v>3</v>
      </c>
      <c r="G49" t="s">
        <v>16</v>
      </c>
      <c r="H49" t="s">
        <v>17</v>
      </c>
      <c r="I49" t="s">
        <v>946</v>
      </c>
      <c r="J49" t="s">
        <v>870</v>
      </c>
      <c r="K49">
        <v>1</v>
      </c>
      <c r="L49" t="s">
        <v>871</v>
      </c>
      <c r="M49" s="3" t="str">
        <f>IF(B49="","","AB"&amp;"_"&amp;IFERROR(VLOOKUP(B49,LOOKUPS!$K$2:$L$10,2,FALSE),"UNK")&amp;"_"&amp;IFERROR(VLOOKUP(C49,LOOKUPS!$N$2:$O$10,2,FALSE),"UNK")&amp;"_"&amp;UPPER(L49))</f>
        <v>AB_ITNIC_CALC_DISALLOW</v>
      </c>
      <c r="N49" s="3">
        <f>IF(M49="","",COUNTIF($M$2:M49,M49))</f>
        <v>2</v>
      </c>
      <c r="O49" t="s">
        <v>947</v>
      </c>
      <c r="P49">
        <v>1</v>
      </c>
      <c r="Q49" s="5" t="s">
        <v>944</v>
      </c>
      <c r="R49" t="s">
        <v>943</v>
      </c>
      <c r="S49" t="s">
        <v>131</v>
      </c>
      <c r="T49" t="s">
        <v>17</v>
      </c>
      <c r="AA49" s="3"/>
      <c r="AC49" t="s">
        <v>948</v>
      </c>
    </row>
    <row r="50" spans="1:29" ht="28.8" x14ac:dyDescent="0.3">
      <c r="A50" s="3" t="str">
        <f t="shared" si="0"/>
        <v>AB_ITNIC_CALC_DISALLOW_003</v>
      </c>
      <c r="B50" t="s">
        <v>21</v>
      </c>
      <c r="C50" t="s">
        <v>40</v>
      </c>
      <c r="D50" t="s">
        <v>868</v>
      </c>
      <c r="E50" t="s">
        <v>25</v>
      </c>
      <c r="F50">
        <v>3</v>
      </c>
      <c r="G50" t="s">
        <v>16</v>
      </c>
      <c r="H50" t="s">
        <v>17</v>
      </c>
      <c r="I50" t="s">
        <v>949</v>
      </c>
      <c r="J50" t="s">
        <v>870</v>
      </c>
      <c r="K50">
        <v>1</v>
      </c>
      <c r="L50" t="s">
        <v>871</v>
      </c>
      <c r="M50" s="3" t="str">
        <f>IF(B50="","","AB"&amp;"_"&amp;IFERROR(VLOOKUP(B50,LOOKUPS!$K$2:$L$10,2,FALSE),"UNK")&amp;"_"&amp;IFERROR(VLOOKUP(C50,LOOKUPS!$N$2:$O$10,2,FALSE),"UNK")&amp;"_"&amp;UPPER(L50))</f>
        <v>AB_ITNIC_CALC_DISALLOW</v>
      </c>
      <c r="N50" s="3">
        <f>IF(M50="","",COUNTIF($M$2:M50,M50))</f>
        <v>3</v>
      </c>
      <c r="O50" t="s">
        <v>957</v>
      </c>
      <c r="P50">
        <v>1</v>
      </c>
      <c r="Q50" s="5" t="s">
        <v>943</v>
      </c>
      <c r="R50" t="s">
        <v>944</v>
      </c>
      <c r="S50" t="s">
        <v>225</v>
      </c>
      <c r="T50" t="s">
        <v>17</v>
      </c>
      <c r="AA50" s="3"/>
      <c r="AC50" t="s">
        <v>950</v>
      </c>
    </row>
    <row r="51" spans="1:29" ht="28.8" x14ac:dyDescent="0.3">
      <c r="A51" s="3" t="str">
        <f t="shared" si="0"/>
        <v>AB_ITNIC_CALC_DISALLOW_004</v>
      </c>
      <c r="B51" t="s">
        <v>21</v>
      </c>
      <c r="C51" t="s">
        <v>40</v>
      </c>
      <c r="D51" t="s">
        <v>868</v>
      </c>
      <c r="E51" t="s">
        <v>25</v>
      </c>
      <c r="F51">
        <v>3</v>
      </c>
      <c r="G51" t="s">
        <v>16</v>
      </c>
      <c r="H51" t="s">
        <v>17</v>
      </c>
      <c r="I51" t="s">
        <v>951</v>
      </c>
      <c r="J51" t="s">
        <v>870</v>
      </c>
      <c r="K51">
        <v>1</v>
      </c>
      <c r="L51" t="s">
        <v>871</v>
      </c>
      <c r="M51" s="3" t="str">
        <f>IF(B51="","","AB"&amp;"_"&amp;IFERROR(VLOOKUP(B51,LOOKUPS!$K$2:$L$10,2,FALSE),"UNK")&amp;"_"&amp;IFERROR(VLOOKUP(C51,LOOKUPS!$N$2:$O$10,2,FALSE),"UNK")&amp;"_"&amp;UPPER(L51))</f>
        <v>AB_ITNIC_CALC_DISALLOW</v>
      </c>
      <c r="N51" s="3">
        <f>IF(M51="","",COUNTIF($M$2:M51,M51))</f>
        <v>4</v>
      </c>
      <c r="O51" t="s">
        <v>952</v>
      </c>
      <c r="P51">
        <v>1</v>
      </c>
      <c r="Q51" s="5" t="s">
        <v>944</v>
      </c>
      <c r="R51" t="s">
        <v>943</v>
      </c>
      <c r="S51" t="s">
        <v>131</v>
      </c>
      <c r="T51" t="s">
        <v>17</v>
      </c>
      <c r="AA51" s="3"/>
      <c r="AC51" t="s">
        <v>953</v>
      </c>
    </row>
    <row r="52" spans="1:29" x14ac:dyDescent="0.3">
      <c r="A52" s="3" t="str">
        <f t="shared" si="0"/>
        <v/>
      </c>
      <c r="B52" s="3"/>
      <c r="D52" s="3"/>
      <c r="E52" s="3"/>
      <c r="F52" s="3"/>
      <c r="G52" s="3"/>
      <c r="H52" s="3"/>
      <c r="I52" s="3"/>
      <c r="J52" s="3"/>
      <c r="K52" s="3"/>
      <c r="L52" s="3"/>
      <c r="M52" s="3" t="str">
        <f>IF(B52="","","AB"&amp;"_"&amp;IFERROR(VLOOKUP(B52,LOOKUPS!$K$2:$L$10,2,FALSE),"UNK")&amp;"_"&amp;IFERROR(VLOOKUP(C52,LOOKUPS!$N$2:$O$10,2,FALSE),"UNK")&amp;"_"&amp;UPPER(L52))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IF(B53="","","AB"&amp;"_"&amp;IFERROR(VLOOKUP(B53,LOOKUPS!$K$2:$L$10,2,FALSE),"UNK")&amp;"_"&amp;IFERROR(VLOOKUP(C53,LOOKUPS!$N$2:$O$10,2,FALSE),"UNK")&amp;"_"&amp;UPPER(L53))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IF(B54="","","AB"&amp;"_"&amp;IFERROR(VLOOKUP(B54,LOOKUPS!$K$2:$L$10,2,FALSE),"UNK")&amp;"_"&amp;IFERROR(VLOOKUP(C54,LOOKUPS!$N$2:$O$10,2,FALSE),"UNK")&amp;"_"&amp;UPPER(L54))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IF(B55="","","AB"&amp;"_"&amp;IFERROR(VLOOKUP(B55,LOOKUPS!$K$2:$L$10,2,FALSE),"UNK")&amp;"_"&amp;IFERROR(VLOOKUP(C55,LOOKUPS!$N$2:$O$10,2,FALSE),"UNK")&amp;"_"&amp;UPPER(L55))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IF(B56="","","AB"&amp;"_"&amp;IFERROR(VLOOKUP(B56,LOOKUPS!$K$2:$L$10,2,FALSE),"UNK")&amp;"_"&amp;IFERROR(VLOOKUP(C56,LOOKUPS!$N$2:$O$10,2,FALSE),"UNK")&amp;"_"&amp;UPPER(L56))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IF(B57="","","AB"&amp;"_"&amp;IFERROR(VLOOKUP(B57,LOOKUPS!$K$2:$L$10,2,FALSE),"UNK")&amp;"_"&amp;IFERROR(VLOOKUP(C57,LOOKUPS!$N$2:$O$10,2,FALSE),"UNK")&amp;"_"&amp;UPPER(L57))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IF(B58="","","AB"&amp;"_"&amp;IFERROR(VLOOKUP(B58,LOOKUPS!$K$2:$L$10,2,FALSE),"UNK")&amp;"_"&amp;IFERROR(VLOOKUP(C58,LOOKUPS!$N$2:$O$10,2,FALSE),"UNK")&amp;"_"&amp;UPPER(L58))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IF(B59="","","AB"&amp;"_"&amp;IFERROR(VLOOKUP(B59,LOOKUPS!$K$2:$L$10,2,FALSE),"UNK")&amp;"_"&amp;IFERROR(VLOOKUP(C59,LOOKUPS!$N$2:$O$10,2,FALSE),"UNK")&amp;"_"&amp;UPPER(L59))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IF(B60="","","AB"&amp;"_"&amp;IFERROR(VLOOKUP(B60,LOOKUPS!$K$2:$L$10,2,FALSE),"UNK")&amp;"_"&amp;IFERROR(VLOOKUP(C60,LOOKUPS!$N$2:$O$10,2,FALSE),"UNK")&amp;"_"&amp;UPPER(L60))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IF(B61="","","AB"&amp;"_"&amp;IFERROR(VLOOKUP(B61,LOOKUPS!$K$2:$L$10,2,FALSE),"UNK")&amp;"_"&amp;IFERROR(VLOOKUP(C61,LOOKUPS!$N$2:$O$10,2,FALSE),"UNK")&amp;"_"&amp;UPPER(L61))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IF(B62="","","AB"&amp;"_"&amp;IFERROR(VLOOKUP(B62,LOOKUPS!$K$2:$L$10,2,FALSE),"UNK")&amp;"_"&amp;IFERROR(VLOOKUP(C62,LOOKUPS!$N$2:$O$10,2,FALSE),"UNK")&amp;"_"&amp;UPPER(L62))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IF(B63="","","AB"&amp;"_"&amp;IFERROR(VLOOKUP(B63,LOOKUPS!$K$2:$L$10,2,FALSE),"UNK")&amp;"_"&amp;IFERROR(VLOOKUP(C63,LOOKUPS!$N$2:$O$10,2,FALSE),"UNK")&amp;"_"&amp;UPPER(L63))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IF(B64="","","AB"&amp;"_"&amp;IFERROR(VLOOKUP(B64,LOOKUPS!$K$2:$L$10,2,FALSE),"UNK")&amp;"_"&amp;IFERROR(VLOOKUP(C64,LOOKUPS!$N$2:$O$10,2,FALSE),"UNK")&amp;"_"&amp;UPPER(L64))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IF(B65="","","AB"&amp;"_"&amp;IFERROR(VLOOKUP(B65,LOOKUPS!$K$2:$L$10,2,FALSE),"UNK")&amp;"_"&amp;IFERROR(VLOOKUP(C65,LOOKUPS!$N$2:$O$10,2,FALSE),"UNK")&amp;"_"&amp;UPPER(L65))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IF(B66="","","AB"&amp;"_"&amp;IFERROR(VLOOKUP(B66,LOOKUPS!$K$2:$L$10,2,FALSE),"UNK")&amp;"_"&amp;IFERROR(VLOOKUP(C66,LOOKUPS!$N$2:$O$10,2,FALSE),"UNK")&amp;"_"&amp;UPPER(L66))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IF(B67="","","AB"&amp;"_"&amp;IFERROR(VLOOKUP(B67,LOOKUPS!$K$2:$L$10,2,FALSE),"UNK")&amp;"_"&amp;IFERROR(VLOOKUP(C67,LOOKUPS!$N$2:$O$10,2,FALSE),"UNK")&amp;"_"&amp;UPPER(L67))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IF(B68="","","AB"&amp;"_"&amp;IFERROR(VLOOKUP(B68,LOOKUPS!$K$2:$L$10,2,FALSE),"UNK")&amp;"_"&amp;IFERROR(VLOOKUP(C68,LOOKUPS!$N$2:$O$10,2,FALSE),"UNK")&amp;"_"&amp;UPPER(L68))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IF(B69="","","AB"&amp;"_"&amp;IFERROR(VLOOKUP(B69,LOOKUPS!$K$2:$L$10,2,FALSE),"UNK")&amp;"_"&amp;IFERROR(VLOOKUP(C69,LOOKUPS!$N$2:$O$10,2,FALSE),"UNK")&amp;"_"&amp;UPPER(L69))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IF(B70="","","AB"&amp;"_"&amp;IFERROR(VLOOKUP(B70,LOOKUPS!$K$2:$L$10,2,FALSE),"UNK")&amp;"_"&amp;IFERROR(VLOOKUP(C70,LOOKUPS!$N$2:$O$10,2,FALSE),"UNK")&amp;"_"&amp;UPPER(L70))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IF(B71="","","AB"&amp;"_"&amp;IFERROR(VLOOKUP(B71,LOOKUPS!$K$2:$L$10,2,FALSE),"UNK")&amp;"_"&amp;IFERROR(VLOOKUP(C71,LOOKUPS!$N$2:$O$10,2,FALSE),"UNK")&amp;"_"&amp;UPPER(L71))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IF(B72="","","AB"&amp;"_"&amp;IFERROR(VLOOKUP(B72,LOOKUPS!$K$2:$L$10,2,FALSE),"UNK")&amp;"_"&amp;IFERROR(VLOOKUP(C72,LOOKUPS!$N$2:$O$10,2,FALSE),"UNK")&amp;"_"&amp;UPPER(L72))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IF(B73="","","AB"&amp;"_"&amp;IFERROR(VLOOKUP(B73,LOOKUPS!$K$2:$L$10,2,FALSE),"UNK")&amp;"_"&amp;IFERROR(VLOOKUP(C73,LOOKUPS!$N$2:$O$10,2,FALSE),"UNK")&amp;"_"&amp;UPPER(L73))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IF(B74="","","AB"&amp;"_"&amp;IFERROR(VLOOKUP(B74,LOOKUPS!$K$2:$L$10,2,FALSE),"UNK")&amp;"_"&amp;IFERROR(VLOOKUP(C74,LOOKUPS!$N$2:$O$10,2,FALSE),"UNK")&amp;"_"&amp;UPPER(L74))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IF(B75="","","AB"&amp;"_"&amp;IFERROR(VLOOKUP(B75,LOOKUPS!$K$2:$L$10,2,FALSE),"UNK")&amp;"_"&amp;IFERROR(VLOOKUP(C75,LOOKUPS!$N$2:$O$10,2,FALSE),"UNK")&amp;"_"&amp;UPPER(L75))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IF(B76="","","AB"&amp;"_"&amp;IFERROR(VLOOKUP(B76,LOOKUPS!$K$2:$L$10,2,FALSE),"UNK")&amp;"_"&amp;IFERROR(VLOOKUP(C76,LOOKUPS!$N$2:$O$10,2,FALSE),"UNK")&amp;"_"&amp;UPPER(L76))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IF(B77="","","AB"&amp;"_"&amp;IFERROR(VLOOKUP(B77,LOOKUPS!$K$2:$L$10,2,FALSE),"UNK")&amp;"_"&amp;IFERROR(VLOOKUP(C77,LOOKUPS!$N$2:$O$10,2,FALSE),"UNK")&amp;"_"&amp;UPPER(L77))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IF(B78="","","AB"&amp;"_"&amp;IFERROR(VLOOKUP(B78,LOOKUPS!$K$2:$L$10,2,FALSE),"UNK")&amp;"_"&amp;IFERROR(VLOOKUP(C78,LOOKUPS!$N$2:$O$10,2,FALSE),"UNK")&amp;"_"&amp;UPPER(L78))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IF(B79="","","AB"&amp;"_"&amp;IFERROR(VLOOKUP(B79,LOOKUPS!$K$2:$L$10,2,FALSE),"UNK")&amp;"_"&amp;IFERROR(VLOOKUP(C79,LOOKUPS!$N$2:$O$10,2,FALSE),"UNK")&amp;"_"&amp;UPPER(L79))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IF(B80="","","AB"&amp;"_"&amp;IFERROR(VLOOKUP(B80,LOOKUPS!$K$2:$L$10,2,FALSE),"UNK")&amp;"_"&amp;IFERROR(VLOOKUP(C80,LOOKUPS!$N$2:$O$10,2,FALSE),"UNK")&amp;"_"&amp;UPPER(L80))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IF(B81="","","AB"&amp;"_"&amp;IFERROR(VLOOKUP(B81,LOOKUPS!$K$2:$L$10,2,FALSE),"UNK")&amp;"_"&amp;IFERROR(VLOOKUP(C81,LOOKUPS!$N$2:$O$10,2,FALSE),"UNK")&amp;"_"&amp;UPPER(L81))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IF(B82="","","AB"&amp;"_"&amp;IFERROR(VLOOKUP(B82,LOOKUPS!$K$2:$L$10,2,FALSE),"UNK")&amp;"_"&amp;IFERROR(VLOOKUP(C82,LOOKUPS!$N$2:$O$10,2,FALSE),"UNK")&amp;"_"&amp;UPPER(L82))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IF(B83="","","AB"&amp;"_"&amp;IFERROR(VLOOKUP(B83,LOOKUPS!$K$2:$L$10,2,FALSE),"UNK")&amp;"_"&amp;IFERROR(VLOOKUP(C83,LOOKUPS!$N$2:$O$10,2,FALSE),"UNK")&amp;"_"&amp;UPPER(L83))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IF(B84="","","AB"&amp;"_"&amp;IFERROR(VLOOKUP(B84,LOOKUPS!$K$2:$L$10,2,FALSE),"UNK")&amp;"_"&amp;IFERROR(VLOOKUP(C84,LOOKUPS!$N$2:$O$10,2,FALSE),"UNK")&amp;"_"&amp;UPPER(L84))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IF(B85="","","AB"&amp;"_"&amp;IFERROR(VLOOKUP(B85,LOOKUPS!$K$2:$L$10,2,FALSE),"UNK")&amp;"_"&amp;IFERROR(VLOOKUP(C85,LOOKUPS!$N$2:$O$10,2,FALSE),"UNK")&amp;"_"&amp;UPPER(L85))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IF(B86="","","AB"&amp;"_"&amp;IFERROR(VLOOKUP(B86,LOOKUPS!$K$2:$L$10,2,FALSE),"UNK")&amp;"_"&amp;IFERROR(VLOOKUP(C86,LOOKUPS!$N$2:$O$10,2,FALSE),"UNK")&amp;"_"&amp;UPPER(L86))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IF(B87="","","AB"&amp;"_"&amp;IFERROR(VLOOKUP(B87,LOOKUPS!$K$2:$L$10,2,FALSE),"UNK")&amp;"_"&amp;IFERROR(VLOOKUP(C87,LOOKUPS!$N$2:$O$10,2,FALSE),"UNK")&amp;"_"&amp;UPPER(L87))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IF(B88="","","AB"&amp;"_"&amp;IFERROR(VLOOKUP(B88,LOOKUPS!$K$2:$L$10,2,FALSE),"UNK")&amp;"_"&amp;IFERROR(VLOOKUP(C88,LOOKUPS!$N$2:$O$10,2,FALSE),"UNK")&amp;"_"&amp;UPPER(L88))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IF(B89="","","AB"&amp;"_"&amp;IFERROR(VLOOKUP(B89,LOOKUPS!$K$2:$L$10,2,FALSE),"UNK")&amp;"_"&amp;IFERROR(VLOOKUP(C89,LOOKUPS!$N$2:$O$10,2,FALSE),"UNK")&amp;"_"&amp;UPPER(L89))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IF(B90="","","AB"&amp;"_"&amp;IFERROR(VLOOKUP(B90,LOOKUPS!$K$2:$L$10,2,FALSE),"UNK")&amp;"_"&amp;IFERROR(VLOOKUP(C90,LOOKUPS!$N$2:$O$10,2,FALSE),"UNK")&amp;"_"&amp;UPPER(L90))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IF(B91="","","AB"&amp;"_"&amp;IFERROR(VLOOKUP(B91,LOOKUPS!$K$2:$L$10,2,FALSE),"UNK")&amp;"_"&amp;IFERROR(VLOOKUP(C91,LOOKUPS!$N$2:$O$10,2,FALSE),"UNK")&amp;"_"&amp;UPPER(L91))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IF(B92="","","AB"&amp;"_"&amp;IFERROR(VLOOKUP(B92,LOOKUPS!$K$2:$L$10,2,FALSE),"UNK")&amp;"_"&amp;IFERROR(VLOOKUP(C92,LOOKUPS!$N$2:$O$10,2,FALSE),"UNK")&amp;"_"&amp;UPPER(L92))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IF(B93="","","AB"&amp;"_"&amp;IFERROR(VLOOKUP(B93,LOOKUPS!$K$2:$L$10,2,FALSE),"UNK")&amp;"_"&amp;IFERROR(VLOOKUP(C93,LOOKUPS!$N$2:$O$10,2,FALSE),"UNK")&amp;"_"&amp;UPPER(L93))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IF(B94="","","AB"&amp;"_"&amp;IFERROR(VLOOKUP(B94,LOOKUPS!$K$2:$L$10,2,FALSE),"UNK")&amp;"_"&amp;IFERROR(VLOOKUP(C94,LOOKUPS!$N$2:$O$10,2,FALSE),"UNK")&amp;"_"&amp;UPPER(L94))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IF(B95="","","AB"&amp;"_"&amp;IFERROR(VLOOKUP(B95,LOOKUPS!$K$2:$L$10,2,FALSE),"UNK")&amp;"_"&amp;IFERROR(VLOOKUP(C95,LOOKUPS!$N$2:$O$10,2,FALSE),"UNK")&amp;"_"&amp;UPPER(L95))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IF(B96="","","AB"&amp;"_"&amp;IFERROR(VLOOKUP(B96,LOOKUPS!$K$2:$L$10,2,FALSE),"UNK")&amp;"_"&amp;IFERROR(VLOOKUP(C96,LOOKUPS!$N$2:$O$10,2,FALSE),"UNK")&amp;"_"&amp;UPPER(L96))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IF(B97="","","AB"&amp;"_"&amp;IFERROR(VLOOKUP(B97,LOOKUPS!$K$2:$L$10,2,FALSE),"UNK")&amp;"_"&amp;IFERROR(VLOOKUP(C97,LOOKUPS!$N$2:$O$10,2,FALSE),"UNK")&amp;"_"&amp;UPPER(L97))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IF(B98="","","AB"&amp;"_"&amp;IFERROR(VLOOKUP(B98,LOOKUPS!$K$2:$L$10,2,FALSE),"UNK")&amp;"_"&amp;IFERROR(VLOOKUP(C98,LOOKUPS!$N$2:$O$10,2,FALSE),"UNK")&amp;"_"&amp;UPPER(L98))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IF(B99="","","AB"&amp;"_"&amp;IFERROR(VLOOKUP(B99,LOOKUPS!$K$2:$L$10,2,FALSE),"UNK")&amp;"_"&amp;IFERROR(VLOOKUP(C99,LOOKUPS!$N$2:$O$10,2,FALSE),"UNK")&amp;"_"&amp;UPPER(L99))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IF(B100="","","AB"&amp;"_"&amp;IFERROR(VLOOKUP(B100,LOOKUPS!$K$2:$L$10,2,FALSE),"UNK")&amp;"_"&amp;IFERROR(VLOOKUP(C100,LOOKUPS!$N$2:$O$10,2,FALSE),"UNK")&amp;"_"&amp;UPPER(L100))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IF(B101="","","AB"&amp;"_"&amp;IFERROR(VLOOKUP(B101,LOOKUPS!$K$2:$L$10,2,FALSE),"UNK")&amp;"_"&amp;IFERROR(VLOOKUP(C101,LOOKUPS!$N$2:$O$10,2,FALSE),"UNK")&amp;"_"&amp;UPPER(L101))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IF(B102="","","AB"&amp;"_"&amp;IFERROR(VLOOKUP(B102,LOOKUPS!$K$2:$L$10,2,FALSE),"UNK")&amp;"_"&amp;IFERROR(VLOOKUP(C102,LOOKUPS!$N$2:$O$10,2,FALSE),"UNK")&amp;"_"&amp;UPPER(L102))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IF(B103="","","AB"&amp;"_"&amp;IFERROR(VLOOKUP(B103,LOOKUPS!$K$2:$L$10,2,FALSE),"UNK")&amp;"_"&amp;IFERROR(VLOOKUP(C103,LOOKUPS!$N$2:$O$10,2,FALSE),"UNK")&amp;"_"&amp;UPPER(L103))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IF(B104="","","AB"&amp;"_"&amp;IFERROR(VLOOKUP(B104,LOOKUPS!$K$2:$L$10,2,FALSE),"UNK")&amp;"_"&amp;IFERROR(VLOOKUP(C104,LOOKUPS!$N$2:$O$10,2,FALSE),"UNK")&amp;"_"&amp;UPPER(L104))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IF(B105="","","AB"&amp;"_"&amp;IFERROR(VLOOKUP(B105,LOOKUPS!$K$2:$L$10,2,FALSE),"UNK")&amp;"_"&amp;IFERROR(VLOOKUP(C105,LOOKUPS!$N$2:$O$10,2,FALSE),"UNK")&amp;"_"&amp;UPPER(L105))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IF(B106="","","AB"&amp;"_"&amp;IFERROR(VLOOKUP(B106,LOOKUPS!$K$2:$L$10,2,FALSE),"UNK")&amp;"_"&amp;IFERROR(VLOOKUP(C106,LOOKUPS!$N$2:$O$10,2,FALSE),"UNK")&amp;"_"&amp;UPPER(L106))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IF(B107="","","AB"&amp;"_"&amp;IFERROR(VLOOKUP(B107,LOOKUPS!$K$2:$L$10,2,FALSE),"UNK")&amp;"_"&amp;IFERROR(VLOOKUP(C107,LOOKUPS!$N$2:$O$10,2,FALSE),"UNK")&amp;"_"&amp;UPPER(L107))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IF(B108="","","AB"&amp;"_"&amp;IFERROR(VLOOKUP(B108,LOOKUPS!$K$2:$L$10,2,FALSE),"UNK")&amp;"_"&amp;IFERROR(VLOOKUP(C108,LOOKUPS!$N$2:$O$10,2,FALSE),"UNK")&amp;"_"&amp;UPPER(L108))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IF(B109="","","AB"&amp;"_"&amp;IFERROR(VLOOKUP(B109,LOOKUPS!$K$2:$L$10,2,FALSE),"UNK")&amp;"_"&amp;IFERROR(VLOOKUP(C109,LOOKUPS!$N$2:$O$10,2,FALSE),"UNK")&amp;"_"&amp;UPPER(L109))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IF(B110="","","AB"&amp;"_"&amp;IFERROR(VLOOKUP(B110,LOOKUPS!$K$2:$L$10,2,FALSE),"UNK")&amp;"_"&amp;IFERROR(VLOOKUP(C110,LOOKUPS!$N$2:$O$10,2,FALSE),"UNK")&amp;"_"&amp;UPPER(L110))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IF(B111="","","AB"&amp;"_"&amp;IFERROR(VLOOKUP(B111,LOOKUPS!$K$2:$L$10,2,FALSE),"UNK")&amp;"_"&amp;IFERROR(VLOOKUP(C111,LOOKUPS!$N$2:$O$10,2,FALSE),"UNK")&amp;"_"&amp;UPPER(L111))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IF(B112="","","AB"&amp;"_"&amp;IFERROR(VLOOKUP(B112,LOOKUPS!$K$2:$L$10,2,FALSE),"UNK")&amp;"_"&amp;IFERROR(VLOOKUP(C112,LOOKUPS!$N$2:$O$10,2,FALSE),"UNK")&amp;"_"&amp;UPPER(L112))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IF(B113="","","AB"&amp;"_"&amp;IFERROR(VLOOKUP(B113,LOOKUPS!$K$2:$L$10,2,FALSE),"UNK")&amp;"_"&amp;IFERROR(VLOOKUP(C113,LOOKUPS!$N$2:$O$10,2,FALSE),"UNK")&amp;"_"&amp;UPPER(L113))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IF(B114="","","AB"&amp;"_"&amp;IFERROR(VLOOKUP(B114,LOOKUPS!$K$2:$L$10,2,FALSE),"UNK")&amp;"_"&amp;IFERROR(VLOOKUP(C114,LOOKUPS!$N$2:$O$10,2,FALSE),"UNK")&amp;"_"&amp;UPPER(L114))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IF(B115="","","AB"&amp;"_"&amp;IFERROR(VLOOKUP(B115,LOOKUPS!$K$2:$L$10,2,FALSE),"UNK")&amp;"_"&amp;IFERROR(VLOOKUP(C115,LOOKUPS!$N$2:$O$10,2,FALSE),"UNK")&amp;"_"&amp;UPPER(L115))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IF(B116="","","AB"&amp;"_"&amp;IFERROR(VLOOKUP(B116,LOOKUPS!$K$2:$L$10,2,FALSE),"UNK")&amp;"_"&amp;IFERROR(VLOOKUP(C116,LOOKUPS!$N$2:$O$10,2,FALSE),"UNK")&amp;"_"&amp;UPPER(L116))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IF(B117="","","AB"&amp;"_"&amp;IFERROR(VLOOKUP(B117,LOOKUPS!$K$2:$L$10,2,FALSE),"UNK")&amp;"_"&amp;IFERROR(VLOOKUP(C117,LOOKUPS!$N$2:$O$10,2,FALSE),"UNK")&amp;"_"&amp;UPPER(L117))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IF(B118="","","AB"&amp;"_"&amp;IFERROR(VLOOKUP(B118,LOOKUPS!$K$2:$L$10,2,FALSE),"UNK")&amp;"_"&amp;IFERROR(VLOOKUP(C118,LOOKUPS!$N$2:$O$10,2,FALSE),"UNK")&amp;"_"&amp;UPPER(L118))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IF(B119="","","AB"&amp;"_"&amp;IFERROR(VLOOKUP(B119,LOOKUPS!$K$2:$L$10,2,FALSE),"UNK")&amp;"_"&amp;IFERROR(VLOOKUP(C119,LOOKUPS!$N$2:$O$10,2,FALSE),"UNK")&amp;"_"&amp;UPPER(L119))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IF(B120="","","AB"&amp;"_"&amp;IFERROR(VLOOKUP(B120,LOOKUPS!$K$2:$L$10,2,FALSE),"UNK")&amp;"_"&amp;IFERROR(VLOOKUP(C120,LOOKUPS!$N$2:$O$10,2,FALSE),"UNK")&amp;"_"&amp;UPPER(L120))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IF(B121="","","AB"&amp;"_"&amp;IFERROR(VLOOKUP(B121,LOOKUPS!$K$2:$L$10,2,FALSE),"UNK")&amp;"_"&amp;IFERROR(VLOOKUP(C121,LOOKUPS!$N$2:$O$10,2,FALSE),"UNK")&amp;"_"&amp;UPPER(L121))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IF(B122="","","AB"&amp;"_"&amp;IFERROR(VLOOKUP(B122,LOOKUPS!$K$2:$L$10,2,FALSE),"UNK")&amp;"_"&amp;IFERROR(VLOOKUP(C122,LOOKUPS!$N$2:$O$10,2,FALSE),"UNK")&amp;"_"&amp;UPPER(L122))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IF(B123="","","AB"&amp;"_"&amp;IFERROR(VLOOKUP(B123,LOOKUPS!$K$2:$L$10,2,FALSE),"UNK")&amp;"_"&amp;IFERROR(VLOOKUP(C123,LOOKUPS!$N$2:$O$10,2,FALSE),"UNK")&amp;"_"&amp;UPPER(L123))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IF(B124="","","AB"&amp;"_"&amp;IFERROR(VLOOKUP(B124,LOOKUPS!$K$2:$L$10,2,FALSE),"UNK")&amp;"_"&amp;IFERROR(VLOOKUP(C124,LOOKUPS!$N$2:$O$10,2,FALSE),"UNK")&amp;"_"&amp;UPPER(L124))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IF(B125="","","AB"&amp;"_"&amp;IFERROR(VLOOKUP(B125,LOOKUPS!$K$2:$L$10,2,FALSE),"UNK")&amp;"_"&amp;IFERROR(VLOOKUP(C125,LOOKUPS!$N$2:$O$10,2,FALSE),"UNK")&amp;"_"&amp;UPPER(L125))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IF(B126="","","AB"&amp;"_"&amp;IFERROR(VLOOKUP(B126,LOOKUPS!$K$2:$L$10,2,FALSE),"UNK")&amp;"_"&amp;IFERROR(VLOOKUP(C126,LOOKUPS!$N$2:$O$10,2,FALSE),"UNK")&amp;"_"&amp;UPPER(L126))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IF(B127="","","AB"&amp;"_"&amp;IFERROR(VLOOKUP(B127,LOOKUPS!$K$2:$L$10,2,FALSE),"UNK")&amp;"_"&amp;IFERROR(VLOOKUP(C127,LOOKUPS!$N$2:$O$10,2,FALSE),"UNK")&amp;"_"&amp;UPPER(L127))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IF(B128="","","AB"&amp;"_"&amp;IFERROR(VLOOKUP(B128,LOOKUPS!$K$2:$L$10,2,FALSE),"UNK")&amp;"_"&amp;IFERROR(VLOOKUP(C128,LOOKUPS!$N$2:$O$10,2,FALSE),"UNK")&amp;"_"&amp;UPPER(L128))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IF(B129="","","AB"&amp;"_"&amp;IFERROR(VLOOKUP(B129,LOOKUPS!$K$2:$L$10,2,FALSE),"UNK")&amp;"_"&amp;IFERROR(VLOOKUP(C129,LOOKUPS!$N$2:$O$10,2,FALSE),"UNK")&amp;"_"&amp;UPPER(L129))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IF(B130="","","AB"&amp;"_"&amp;IFERROR(VLOOKUP(B130,LOOKUPS!$K$2:$L$10,2,FALSE),"UNK")&amp;"_"&amp;IFERROR(VLOOKUP(C130,LOOKUPS!$N$2:$O$10,2,FALSE),"UNK")&amp;"_"&amp;UPPER(L130))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IF(B131="","","AB"&amp;"_"&amp;IFERROR(VLOOKUP(B131,LOOKUPS!$K$2:$L$10,2,FALSE),"UNK")&amp;"_"&amp;IFERROR(VLOOKUP(C131,LOOKUPS!$N$2:$O$10,2,FALSE),"UNK")&amp;"_"&amp;UPPER(L131))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IF(B132="","","AB"&amp;"_"&amp;IFERROR(VLOOKUP(B132,LOOKUPS!$K$2:$L$10,2,FALSE),"UNK")&amp;"_"&amp;IFERROR(VLOOKUP(C132,LOOKUPS!$N$2:$O$10,2,FALSE),"UNK")&amp;"_"&amp;UPPER(L132))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IF(B133="","","AB"&amp;"_"&amp;IFERROR(VLOOKUP(B133,LOOKUPS!$K$2:$L$10,2,FALSE),"UNK")&amp;"_"&amp;IFERROR(VLOOKUP(C133,LOOKUPS!$N$2:$O$10,2,FALSE),"UNK")&amp;"_"&amp;UPPER(L133))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IF(B134="","","AB"&amp;"_"&amp;IFERROR(VLOOKUP(B134,LOOKUPS!$K$2:$L$10,2,FALSE),"UNK")&amp;"_"&amp;IFERROR(VLOOKUP(C134,LOOKUPS!$N$2:$O$10,2,FALSE),"UNK")&amp;"_"&amp;UPPER(L134))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IF(B135="","","AB"&amp;"_"&amp;IFERROR(VLOOKUP(B135,LOOKUPS!$K$2:$L$10,2,FALSE),"UNK")&amp;"_"&amp;IFERROR(VLOOKUP(C135,LOOKUPS!$N$2:$O$10,2,FALSE),"UNK")&amp;"_"&amp;UPPER(L135))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IF(B136="","","AB"&amp;"_"&amp;IFERROR(VLOOKUP(B136,LOOKUPS!$K$2:$L$10,2,FALSE),"UNK")&amp;"_"&amp;IFERROR(VLOOKUP(C136,LOOKUPS!$N$2:$O$10,2,FALSE),"UNK")&amp;"_"&amp;UPPER(L136))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IF(B137="","","AB"&amp;"_"&amp;IFERROR(VLOOKUP(B137,LOOKUPS!$K$2:$L$10,2,FALSE),"UNK")&amp;"_"&amp;IFERROR(VLOOKUP(C137,LOOKUPS!$N$2:$O$10,2,FALSE),"UNK")&amp;"_"&amp;UPPER(L137))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IF(B138="","","AB"&amp;"_"&amp;IFERROR(VLOOKUP(B138,LOOKUPS!$K$2:$L$10,2,FALSE),"UNK")&amp;"_"&amp;IFERROR(VLOOKUP(C138,LOOKUPS!$N$2:$O$10,2,FALSE),"UNK")&amp;"_"&amp;UPPER(L138))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IF(B139="","","AB"&amp;"_"&amp;IFERROR(VLOOKUP(B139,LOOKUPS!$K$2:$L$10,2,FALSE),"UNK")&amp;"_"&amp;IFERROR(VLOOKUP(C139,LOOKUPS!$N$2:$O$10,2,FALSE),"UNK")&amp;"_"&amp;UPPER(L139))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IF(B140="","","AB"&amp;"_"&amp;IFERROR(VLOOKUP(B140,LOOKUPS!$K$2:$L$10,2,FALSE),"UNK")&amp;"_"&amp;IFERROR(VLOOKUP(C140,LOOKUPS!$N$2:$O$10,2,FALSE),"UNK")&amp;"_"&amp;UPPER(L140))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IF(B141="","","AB"&amp;"_"&amp;IFERROR(VLOOKUP(B141,LOOKUPS!$K$2:$L$10,2,FALSE),"UNK")&amp;"_"&amp;IFERROR(VLOOKUP(C141,LOOKUPS!$N$2:$O$10,2,FALSE),"UNK")&amp;"_"&amp;UPPER(L141))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IF(B142="","","AB"&amp;"_"&amp;IFERROR(VLOOKUP(B142,LOOKUPS!$K$2:$L$10,2,FALSE),"UNK")&amp;"_"&amp;IFERROR(VLOOKUP(C142,LOOKUPS!$N$2:$O$10,2,FALSE),"UNK")&amp;"_"&amp;UPPER(L142))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IF(B143="","","AB"&amp;"_"&amp;IFERROR(VLOOKUP(B143,LOOKUPS!$K$2:$L$10,2,FALSE),"UNK")&amp;"_"&amp;IFERROR(VLOOKUP(C143,LOOKUPS!$N$2:$O$10,2,FALSE),"UNK")&amp;"_"&amp;UPPER(L143))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IF(B144="","","AB"&amp;"_"&amp;IFERROR(VLOOKUP(B144,LOOKUPS!$K$2:$L$10,2,FALSE),"UNK")&amp;"_"&amp;IFERROR(VLOOKUP(C144,LOOKUPS!$N$2:$O$10,2,FALSE),"UNK")&amp;"_"&amp;UPPER(L144))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IF(B145="","","AB"&amp;"_"&amp;IFERROR(VLOOKUP(B145,LOOKUPS!$K$2:$L$10,2,FALSE),"UNK")&amp;"_"&amp;IFERROR(VLOOKUP(C145,LOOKUPS!$N$2:$O$10,2,FALSE),"UNK")&amp;"_"&amp;UPPER(L145))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IF(B146="","","AB"&amp;"_"&amp;IFERROR(VLOOKUP(B146,LOOKUPS!$K$2:$L$10,2,FALSE),"UNK")&amp;"_"&amp;IFERROR(VLOOKUP(C146,LOOKUPS!$N$2:$O$10,2,FALSE),"UNK")&amp;"_"&amp;UPPER(L146))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IF(B147="","","AB"&amp;"_"&amp;IFERROR(VLOOKUP(B147,LOOKUPS!$K$2:$L$10,2,FALSE),"UNK")&amp;"_"&amp;IFERROR(VLOOKUP(C147,LOOKUPS!$N$2:$O$10,2,FALSE),"UNK")&amp;"_"&amp;UPPER(L147))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IF(B148="","","AB"&amp;"_"&amp;IFERROR(VLOOKUP(B148,LOOKUPS!$K$2:$L$10,2,FALSE),"UNK")&amp;"_"&amp;IFERROR(VLOOKUP(C148,LOOKUPS!$N$2:$O$10,2,FALSE),"UNK")&amp;"_"&amp;UPPER(L148))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IF(B149="","","AB"&amp;"_"&amp;IFERROR(VLOOKUP(B149,LOOKUPS!$K$2:$L$10,2,FALSE),"UNK")&amp;"_"&amp;IFERROR(VLOOKUP(C149,LOOKUPS!$N$2:$O$10,2,FALSE),"UNK")&amp;"_"&amp;UPPER(L149))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IF(B150="","","AB"&amp;"_"&amp;IFERROR(VLOOKUP(B150,LOOKUPS!$K$2:$L$10,2,FALSE),"UNK")&amp;"_"&amp;IFERROR(VLOOKUP(C150,LOOKUPS!$N$2:$O$10,2,FALSE),"UNK")&amp;"_"&amp;UPPER(L150))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IF(B151="","","AB"&amp;"_"&amp;IFERROR(VLOOKUP(B151,LOOKUPS!$K$2:$L$10,2,FALSE),"UNK")&amp;"_"&amp;IFERROR(VLOOKUP(C151,LOOKUPS!$N$2:$O$10,2,FALSE),"UNK")&amp;"_"&amp;UPPER(L151))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IF(B152="","","AB"&amp;"_"&amp;IFERROR(VLOOKUP(B152,LOOKUPS!$K$2:$L$10,2,FALSE),"UNK")&amp;"_"&amp;IFERROR(VLOOKUP(C152,LOOKUPS!$N$2:$O$10,2,FALSE),"UNK")&amp;"_"&amp;UPPER(L152))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IF(B153="","","AB"&amp;"_"&amp;IFERROR(VLOOKUP(B153,LOOKUPS!$K$2:$L$10,2,FALSE),"UNK")&amp;"_"&amp;IFERROR(VLOOKUP(C153,LOOKUPS!$N$2:$O$10,2,FALSE),"UNK")&amp;"_"&amp;UPPER(L153))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IF(B154="","","AB"&amp;"_"&amp;IFERROR(VLOOKUP(B154,LOOKUPS!$K$2:$L$10,2,FALSE),"UNK")&amp;"_"&amp;IFERROR(VLOOKUP(C154,LOOKUPS!$N$2:$O$10,2,FALSE),"UNK")&amp;"_"&amp;UPPER(L154))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IF(B155="","","AB"&amp;"_"&amp;IFERROR(VLOOKUP(B155,LOOKUPS!$K$2:$L$10,2,FALSE),"UNK")&amp;"_"&amp;IFERROR(VLOOKUP(C155,LOOKUPS!$N$2:$O$10,2,FALSE),"UNK")&amp;"_"&amp;UPPER(L155))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IF(B156="","","AB"&amp;"_"&amp;IFERROR(VLOOKUP(B156,LOOKUPS!$K$2:$L$10,2,FALSE),"UNK")&amp;"_"&amp;IFERROR(VLOOKUP(C156,LOOKUPS!$N$2:$O$10,2,FALSE),"UNK")&amp;"_"&amp;UPPER(L156))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IF(B157="","","AB"&amp;"_"&amp;IFERROR(VLOOKUP(B157,LOOKUPS!$K$2:$L$10,2,FALSE),"UNK")&amp;"_"&amp;IFERROR(VLOOKUP(C157,LOOKUPS!$N$2:$O$10,2,FALSE),"UNK")&amp;"_"&amp;UPPER(L157))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IF(B158="","","AB"&amp;"_"&amp;IFERROR(VLOOKUP(B158,LOOKUPS!$K$2:$L$10,2,FALSE),"UNK")&amp;"_"&amp;IFERROR(VLOOKUP(C158,LOOKUPS!$N$2:$O$10,2,FALSE),"UNK")&amp;"_"&amp;UPPER(L158))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IF(B159="","","AB"&amp;"_"&amp;IFERROR(VLOOKUP(B159,LOOKUPS!$K$2:$L$10,2,FALSE),"UNK")&amp;"_"&amp;IFERROR(VLOOKUP(C159,LOOKUPS!$N$2:$O$10,2,FALSE),"UNK")&amp;"_"&amp;UPPER(L159))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IF(B160="","","AB"&amp;"_"&amp;IFERROR(VLOOKUP(B160,LOOKUPS!$K$2:$L$10,2,FALSE),"UNK")&amp;"_"&amp;IFERROR(VLOOKUP(C160,LOOKUPS!$N$2:$O$10,2,FALSE),"UNK")&amp;"_"&amp;UPPER(L160))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IF(B161="","","AB"&amp;"_"&amp;IFERROR(VLOOKUP(B161,LOOKUPS!$K$2:$L$10,2,FALSE),"UNK")&amp;"_"&amp;IFERROR(VLOOKUP(C161,LOOKUPS!$N$2:$O$10,2,FALSE),"UNK")&amp;"_"&amp;UPPER(L161))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IF(B162="","","AB"&amp;"_"&amp;IFERROR(VLOOKUP(B162,LOOKUPS!$K$2:$L$10,2,FALSE),"UNK")&amp;"_"&amp;IFERROR(VLOOKUP(C162,LOOKUPS!$N$2:$O$10,2,FALSE),"UNK")&amp;"_"&amp;UPPER(L162))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IF(B163="","","AB"&amp;"_"&amp;IFERROR(VLOOKUP(B163,LOOKUPS!$K$2:$L$10,2,FALSE),"UNK")&amp;"_"&amp;IFERROR(VLOOKUP(C163,LOOKUPS!$N$2:$O$10,2,FALSE),"UNK")&amp;"_"&amp;UPPER(L163))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IF(B164="","","AB"&amp;"_"&amp;IFERROR(VLOOKUP(B164,LOOKUPS!$K$2:$L$10,2,FALSE),"UNK")&amp;"_"&amp;IFERROR(VLOOKUP(C164,LOOKUPS!$N$2:$O$10,2,FALSE),"UNK")&amp;"_"&amp;UPPER(L164))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IF(B165="","","AB"&amp;"_"&amp;IFERROR(VLOOKUP(B165,LOOKUPS!$K$2:$L$10,2,FALSE),"UNK")&amp;"_"&amp;IFERROR(VLOOKUP(C165,LOOKUPS!$N$2:$O$10,2,FALSE),"UNK")&amp;"_"&amp;UPPER(L165))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IF(B166="","","AB"&amp;"_"&amp;IFERROR(VLOOKUP(B166,LOOKUPS!$K$2:$L$10,2,FALSE),"UNK")&amp;"_"&amp;IFERROR(VLOOKUP(C166,LOOKUPS!$N$2:$O$10,2,FALSE),"UNK")&amp;"_"&amp;UPPER(L166))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IF(B167="","","AB"&amp;"_"&amp;IFERROR(VLOOKUP(B167,LOOKUPS!$K$2:$L$10,2,FALSE),"UNK")&amp;"_"&amp;IFERROR(VLOOKUP(C167,LOOKUPS!$N$2:$O$10,2,FALSE),"UNK")&amp;"_"&amp;UPPER(L167))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IF(B168="","","AB"&amp;"_"&amp;IFERROR(VLOOKUP(B168,LOOKUPS!$K$2:$L$10,2,FALSE),"UNK")&amp;"_"&amp;IFERROR(VLOOKUP(C168,LOOKUPS!$N$2:$O$10,2,FALSE),"UNK")&amp;"_"&amp;UPPER(L168))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IF(B169="","","AB"&amp;"_"&amp;IFERROR(VLOOKUP(B169,LOOKUPS!$K$2:$L$10,2,FALSE),"UNK")&amp;"_"&amp;IFERROR(VLOOKUP(C169,LOOKUPS!$N$2:$O$10,2,FALSE),"UNK")&amp;"_"&amp;UPPER(L169))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47 F5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E2:E47 E52:E1000</xm:sqref>
        </x14:dataValidation>
        <x14:dataValidation type="list" allowBlank="1" xr:uid="{8A6AFCA3-0201-4487-85FA-C307C9A7C8A3}">
          <x14:formula1>
            <xm:f>LOOKUPS!$E$2:$E$4</xm:f>
          </x14:formula1>
          <xm:sqref>G2:G47 G52:G169</xm:sqref>
        </x14:dataValidation>
        <x14:dataValidation type="list" allowBlank="1" xr:uid="{FA0317A5-2BF8-4476-9AF0-CF607799F648}">
          <x14:formula1>
            <xm:f>LOOKUPS!$G$2:$G$3</xm:f>
          </x14:formula1>
          <xm:sqref>H2:H47 H52:H169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 type="list" allowBlank="1" showDropDown="1" xr:uid="{00000000-0002-0000-0300-000000000000}">
          <x14:formula1>
            <xm:f>LOOKUPS!$A$2:$A$10</xm:f>
          </x14:formula1>
          <xm:sqref>B170:B1000</xm:sqref>
        </x14:dataValidation>
        <x14:dataValidation type="list" allowBlank="1" xr:uid="{4434F220-3CBF-48CB-B993-6A17BED391F4}">
          <x14:formula1>
            <xm:f>LOOKUPS!$A$2:$A$10</xm:f>
          </x14:formula1>
          <xm:sqref>B2:B47 B52:B169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G49" workbookViewId="0">
      <selection activeCell="O40" sqref="O40"/>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65" si="0">IF(M2="","",M2&amp;"_"&amp;TEXT(N2,"000"))</f>
        <v>LIST_ITNIC_REQ_EIS_001</v>
      </c>
      <c r="B2" s="3" t="s">
        <v>21</v>
      </c>
      <c r="C2" s="3" t="s">
        <v>22</v>
      </c>
      <c r="D2" s="6" t="s">
        <v>815</v>
      </c>
      <c r="E2" s="3" t="s">
        <v>31</v>
      </c>
      <c r="F2" s="3">
        <v>3</v>
      </c>
      <c r="G2" s="3" t="s">
        <v>16</v>
      </c>
      <c r="H2" s="3" t="s">
        <v>17</v>
      </c>
      <c r="I2" s="3" t="s">
        <v>123</v>
      </c>
      <c r="J2" s="3" t="s">
        <v>124</v>
      </c>
      <c r="K2" s="3">
        <v>1</v>
      </c>
      <c r="L2" s="3" t="s">
        <v>125</v>
      </c>
      <c r="M2" s="3" t="str">
        <f>IF(B2="","","LIST"&amp;"_"&amp;IFERROR(VLOOKUP(B2,LOOKUPS!$K$2:$L$10,2,FALSE),"UNK")&amp;"_"&amp;IFERROR(VLOOKUP(C2,LOOKUPS!$N$2:$O$10,2,FALSE),"UNK")&amp;"_"&amp;UPPER(L2))</f>
        <v>LIST_ITNIC_REQ_EIS</v>
      </c>
      <c r="N2" s="3">
        <f>IF(M2="","",COUNTIF($M$2:M2,M2))</f>
        <v>1</v>
      </c>
      <c r="O2" s="3" t="s">
        <v>140</v>
      </c>
      <c r="P2" s="3">
        <v>4</v>
      </c>
      <c r="Q2" s="3" t="s">
        <v>141</v>
      </c>
      <c r="R2" s="3">
        <v>1000000</v>
      </c>
      <c r="S2" s="3" t="s">
        <v>17</v>
      </c>
      <c r="T2" s="3" t="s">
        <v>142</v>
      </c>
      <c r="U2" s="9">
        <v>0.3</v>
      </c>
      <c r="V2" s="3" t="s">
        <v>17</v>
      </c>
      <c r="W2" s="3" t="s">
        <v>143</v>
      </c>
      <c r="X2" s="3">
        <v>200000</v>
      </c>
      <c r="Y2" s="3" t="s">
        <v>17</v>
      </c>
      <c r="Z2" s="3" t="s">
        <v>144</v>
      </c>
      <c r="AA2" s="3">
        <v>0.5</v>
      </c>
      <c r="AB2" s="3" t="s">
        <v>17</v>
      </c>
      <c r="AC2" s="3"/>
      <c r="AD2" s="3"/>
      <c r="AE2" s="3"/>
      <c r="AF2" s="3" t="s">
        <v>17</v>
      </c>
      <c r="AG2" s="3" t="s">
        <v>145</v>
      </c>
    </row>
    <row r="3" spans="1:33" ht="86.4" x14ac:dyDescent="0.3">
      <c r="A3" s="3" t="str">
        <f t="shared" si="0"/>
        <v>LIST_ITNIC_REQ_EIS_002</v>
      </c>
      <c r="B3" s="3" t="s">
        <v>21</v>
      </c>
      <c r="C3" s="3" t="s">
        <v>22</v>
      </c>
      <c r="D3" s="6" t="s">
        <v>815</v>
      </c>
      <c r="E3" s="3" t="s">
        <v>31</v>
      </c>
      <c r="F3" s="3">
        <v>3</v>
      </c>
      <c r="G3" s="3" t="s">
        <v>16</v>
      </c>
      <c r="H3" s="3" t="s">
        <v>17</v>
      </c>
      <c r="I3" s="3" t="s">
        <v>123</v>
      </c>
      <c r="J3" s="3" t="s">
        <v>124</v>
      </c>
      <c r="K3" s="3">
        <v>1</v>
      </c>
      <c r="L3" s="3" t="s">
        <v>125</v>
      </c>
      <c r="M3" s="3" t="str">
        <f>IF(B3="","","LIST"&amp;"_"&amp;IFERROR(VLOOKUP(B3,LOOKUPS!$K$2:$L$10,2,FALSE),"UNK")&amp;"_"&amp;IFERROR(VLOOKUP(C3,LOOKUPS!$N$2:$O$10,2,FALSE),"UNK")&amp;"_"&amp;UPPER(L3))</f>
        <v>LIST_ITNIC_REQ_EIS</v>
      </c>
      <c r="N3" s="3">
        <f>IF(M3="","",COUNTIF($M$2:M3,M3))</f>
        <v>2</v>
      </c>
      <c r="O3" s="3" t="s">
        <v>146</v>
      </c>
      <c r="P3" s="3">
        <v>3</v>
      </c>
      <c r="Q3" s="3" t="s">
        <v>147</v>
      </c>
      <c r="R3" s="3">
        <v>1</v>
      </c>
      <c r="S3" s="3" t="s">
        <v>17</v>
      </c>
      <c r="T3" s="3" t="s">
        <v>148</v>
      </c>
      <c r="U3" s="3">
        <v>3</v>
      </c>
      <c r="V3" s="3" t="s">
        <v>17</v>
      </c>
      <c r="W3" s="3" t="s">
        <v>149</v>
      </c>
      <c r="X3" s="3" t="s">
        <v>150</v>
      </c>
      <c r="Y3" s="3" t="s">
        <v>17</v>
      </c>
      <c r="Z3" s="3"/>
      <c r="AA3" s="3"/>
      <c r="AB3" s="3"/>
      <c r="AC3" s="3"/>
      <c r="AD3" s="3"/>
      <c r="AE3" s="3"/>
      <c r="AF3" s="3" t="s">
        <v>17</v>
      </c>
      <c r="AG3" s="3" t="s">
        <v>800</v>
      </c>
    </row>
    <row r="4" spans="1:33" ht="72" x14ac:dyDescent="0.3">
      <c r="A4" s="3" t="str">
        <f t="shared" si="0"/>
        <v>LIST_ITNIC_REQ_PSC_001</v>
      </c>
      <c r="B4" s="3" t="s">
        <v>21</v>
      </c>
      <c r="C4" s="3" t="s">
        <v>22</v>
      </c>
      <c r="D4" s="3" t="s">
        <v>155</v>
      </c>
      <c r="E4" s="3" t="s">
        <v>31</v>
      </c>
      <c r="F4" s="3">
        <v>3</v>
      </c>
      <c r="G4" s="3" t="s">
        <v>16</v>
      </c>
      <c r="H4" s="3" t="s">
        <v>17</v>
      </c>
      <c r="I4" s="3" t="s">
        <v>165</v>
      </c>
      <c r="J4" s="3" t="s">
        <v>124</v>
      </c>
      <c r="K4" s="3">
        <v>1</v>
      </c>
      <c r="L4" s="3" t="s">
        <v>157</v>
      </c>
      <c r="M4" s="3" t="str">
        <f>IF(B4="","","LIST"&amp;"_"&amp;IFERROR(VLOOKUP(B4,LOOKUPS!$K$2:$L$10,2,FALSE),"UNK")&amp;"_"&amp;IFERROR(VLOOKUP(C4,LOOKUPS!$N$2:$O$10,2,FALSE),"UNK")&amp;"_"&amp;UPPER(L4))</f>
        <v>LIST_ITNIC_REQ_PSC</v>
      </c>
      <c r="N4" s="3">
        <f>IF(M4="","",COUNTIF($M$2:M4,M4))</f>
        <v>1</v>
      </c>
      <c r="O4" s="3" t="s">
        <v>173</v>
      </c>
      <c r="P4" s="3">
        <v>5</v>
      </c>
      <c r="Q4" s="3" t="s">
        <v>174</v>
      </c>
      <c r="R4" s="3" t="s">
        <v>175</v>
      </c>
      <c r="S4" s="3" t="s">
        <v>17</v>
      </c>
      <c r="T4" s="3" t="s">
        <v>176</v>
      </c>
      <c r="U4" s="3" t="s">
        <v>177</v>
      </c>
      <c r="V4" s="3" t="s">
        <v>17</v>
      </c>
      <c r="W4" s="3" t="s">
        <v>178</v>
      </c>
      <c r="X4" s="3" t="s">
        <v>179</v>
      </c>
      <c r="Y4" s="3" t="s">
        <v>17</v>
      </c>
      <c r="Z4" s="3" t="s">
        <v>180</v>
      </c>
      <c r="AA4" s="3" t="s">
        <v>181</v>
      </c>
      <c r="AB4" s="3" t="s">
        <v>17</v>
      </c>
      <c r="AC4" s="3" t="s">
        <v>182</v>
      </c>
      <c r="AD4" s="3" t="s">
        <v>183</v>
      </c>
      <c r="AE4" s="3" t="s">
        <v>17</v>
      </c>
      <c r="AF4" s="3" t="s">
        <v>17</v>
      </c>
      <c r="AG4" s="3" t="s">
        <v>801</v>
      </c>
    </row>
    <row r="5" spans="1:33" ht="100.8" x14ac:dyDescent="0.3">
      <c r="A5" s="3" t="str">
        <f t="shared" si="0"/>
        <v>LIST_ITNIC_REQ_PSC_002</v>
      </c>
      <c r="B5" s="3" t="s">
        <v>21</v>
      </c>
      <c r="C5" s="3" t="s">
        <v>22</v>
      </c>
      <c r="D5" s="3" t="s">
        <v>155</v>
      </c>
      <c r="E5" s="3" t="s">
        <v>31</v>
      </c>
      <c r="F5" s="3">
        <v>3</v>
      </c>
      <c r="G5" s="3" t="s">
        <v>16</v>
      </c>
      <c r="H5" s="3" t="s">
        <v>17</v>
      </c>
      <c r="I5" s="3" t="s">
        <v>184</v>
      </c>
      <c r="J5" s="3" t="s">
        <v>124</v>
      </c>
      <c r="K5" s="3">
        <v>1</v>
      </c>
      <c r="L5" s="3" t="s">
        <v>157</v>
      </c>
      <c r="M5" s="3" t="str">
        <f>IF(B5="","","LIST"&amp;"_"&amp;IFERROR(VLOOKUP(B5,LOOKUPS!$K$2:$L$10,2,FALSE),"UNK")&amp;"_"&amp;IFERROR(VLOOKUP(C5,LOOKUPS!$N$2:$O$10,2,FALSE),"UNK")&amp;"_"&amp;UPPER(L5))</f>
        <v>LIST_ITNIC_REQ_PSC</v>
      </c>
      <c r="N5" s="3">
        <f>IF(M5="","",COUNTIF($M$2:M5,M5))</f>
        <v>2</v>
      </c>
      <c r="O5" s="3" t="s">
        <v>185</v>
      </c>
      <c r="P5" s="3">
        <v>4</v>
      </c>
      <c r="Q5" s="3" t="s">
        <v>186</v>
      </c>
      <c r="R5" s="3" t="s">
        <v>187</v>
      </c>
      <c r="S5" s="3" t="s">
        <v>17</v>
      </c>
      <c r="T5" s="3" t="s">
        <v>188</v>
      </c>
      <c r="U5" s="3" t="s">
        <v>189</v>
      </c>
      <c r="V5" s="3" t="s">
        <v>17</v>
      </c>
      <c r="W5" s="3" t="s">
        <v>190</v>
      </c>
      <c r="X5" s="3">
        <v>45</v>
      </c>
      <c r="Y5" s="3" t="s">
        <v>17</v>
      </c>
      <c r="Z5" s="3" t="s">
        <v>191</v>
      </c>
      <c r="AA5" s="3" t="s">
        <v>192</v>
      </c>
      <c r="AB5" s="3" t="s">
        <v>17</v>
      </c>
      <c r="AC5" s="3"/>
      <c r="AD5" s="3"/>
      <c r="AE5" s="3"/>
      <c r="AF5" s="3" t="s">
        <v>17</v>
      </c>
      <c r="AG5" s="3" t="s">
        <v>802</v>
      </c>
    </row>
    <row r="6" spans="1:33" ht="57.6" x14ac:dyDescent="0.3">
      <c r="A6" s="3" t="str">
        <f t="shared" si="0"/>
        <v>LIST_ITNIC_REQ_SHS_001</v>
      </c>
      <c r="B6" s="6" t="s">
        <v>21</v>
      </c>
      <c r="C6" s="6" t="s">
        <v>22</v>
      </c>
      <c r="D6" s="6" t="s">
        <v>352</v>
      </c>
      <c r="E6" s="6" t="s">
        <v>31</v>
      </c>
      <c r="F6" s="6">
        <v>3</v>
      </c>
      <c r="G6" s="6" t="s">
        <v>16</v>
      </c>
      <c r="H6" s="6" t="s">
        <v>17</v>
      </c>
      <c r="I6" s="6" t="s">
        <v>242</v>
      </c>
      <c r="J6" s="6" t="s">
        <v>124</v>
      </c>
      <c r="K6" s="6">
        <v>1</v>
      </c>
      <c r="L6" s="6" t="s">
        <v>199</v>
      </c>
      <c r="M6" s="3" t="str">
        <f>IF(B6="","","LIST"&amp;"_"&amp;IFERROR(VLOOKUP(B6,LOOKUPS!$K$2:$L$10,2,FALSE),"UNK")&amp;"_"&amp;IFERROR(VLOOKUP(C6,LOOKUPS!$N$2:$O$10,2,FALSE),"UNK")&amp;"_"&amp;UPPER(L6))</f>
        <v>LIST_ITNIC_REQ_SHS</v>
      </c>
      <c r="N6" s="3">
        <f>IF(M6="","",COUNTIF($M$2:M6,M6))</f>
        <v>1</v>
      </c>
      <c r="O6" s="6" t="s">
        <v>243</v>
      </c>
      <c r="P6" s="6">
        <v>3</v>
      </c>
      <c r="Q6" s="6" t="s">
        <v>244</v>
      </c>
      <c r="R6" s="6" t="s">
        <v>245</v>
      </c>
      <c r="S6" s="3" t="s">
        <v>17</v>
      </c>
      <c r="T6" s="6" t="s">
        <v>246</v>
      </c>
      <c r="U6" s="6" t="s">
        <v>247</v>
      </c>
      <c r="V6" s="3" t="s">
        <v>17</v>
      </c>
      <c r="W6" s="6" t="s">
        <v>248</v>
      </c>
      <c r="X6" s="6" t="s">
        <v>249</v>
      </c>
      <c r="Y6" s="3" t="s">
        <v>17</v>
      </c>
      <c r="AF6" s="6" t="s">
        <v>17</v>
      </c>
      <c r="AG6" s="6" t="s">
        <v>250</v>
      </c>
    </row>
    <row r="7" spans="1:33" ht="100.8" x14ac:dyDescent="0.3">
      <c r="A7" s="3" t="str">
        <f t="shared" si="0"/>
        <v>LIST_ITNIC_REQ_SHS_002</v>
      </c>
      <c r="B7" s="3" t="s">
        <v>21</v>
      </c>
      <c r="C7" s="3" t="s">
        <v>22</v>
      </c>
      <c r="D7" s="6" t="s">
        <v>352</v>
      </c>
      <c r="E7" s="3" t="s">
        <v>31</v>
      </c>
      <c r="F7" s="3">
        <v>3</v>
      </c>
      <c r="G7" s="3" t="s">
        <v>16</v>
      </c>
      <c r="H7" s="3" t="s">
        <v>17</v>
      </c>
      <c r="I7" s="3" t="s">
        <v>210</v>
      </c>
      <c r="J7" s="3" t="s">
        <v>124</v>
      </c>
      <c r="K7" s="3">
        <v>1</v>
      </c>
      <c r="L7" s="3" t="s">
        <v>199</v>
      </c>
      <c r="M7" s="3" t="str">
        <f>IF(B7="","","LIST"&amp;"_"&amp;IFERROR(VLOOKUP(B7,LOOKUPS!$K$2:$L$10,2,FALSE),"UNK")&amp;"_"&amp;IFERROR(VLOOKUP(C7,LOOKUPS!$N$2:$O$10,2,FALSE),"UNK")&amp;"_"&amp;UPPER(L7))</f>
        <v>LIST_ITNIC_REQ_SHS</v>
      </c>
      <c r="N7" s="3">
        <f>IF(M7="","",COUNTIF($M$2:M7,M7))</f>
        <v>2</v>
      </c>
      <c r="O7" s="3" t="s">
        <v>751</v>
      </c>
      <c r="P7" s="3">
        <v>5</v>
      </c>
      <c r="Q7" s="3" t="s">
        <v>211</v>
      </c>
      <c r="R7" s="3">
        <v>60000</v>
      </c>
      <c r="S7" s="3" t="s">
        <v>17</v>
      </c>
      <c r="T7" s="3" t="s">
        <v>212</v>
      </c>
      <c r="U7" s="3">
        <v>3</v>
      </c>
      <c r="V7" s="3" t="s">
        <v>17</v>
      </c>
      <c r="W7" s="3" t="s">
        <v>213</v>
      </c>
      <c r="X7" s="3">
        <v>10</v>
      </c>
      <c r="Y7" s="3" t="s">
        <v>17</v>
      </c>
      <c r="Z7" s="3" t="s">
        <v>214</v>
      </c>
      <c r="AA7" s="3">
        <v>250000</v>
      </c>
      <c r="AB7" s="3" t="s">
        <v>17</v>
      </c>
      <c r="AC7" s="3" t="s">
        <v>215</v>
      </c>
      <c r="AD7" s="3">
        <v>3000000</v>
      </c>
      <c r="AE7" s="3" t="s">
        <v>17</v>
      </c>
      <c r="AF7" s="3" t="s">
        <v>17</v>
      </c>
      <c r="AG7" s="3" t="s">
        <v>803</v>
      </c>
    </row>
    <row r="8" spans="1:33" ht="115.2" x14ac:dyDescent="0.3">
      <c r="A8" s="3" t="str">
        <f t="shared" si="0"/>
        <v>LIST_ITNIC_REQ_SHS_003</v>
      </c>
      <c r="B8" s="3" t="s">
        <v>21</v>
      </c>
      <c r="C8" s="3" t="s">
        <v>22</v>
      </c>
      <c r="D8" s="6" t="s">
        <v>352</v>
      </c>
      <c r="E8" s="3" t="s">
        <v>31</v>
      </c>
      <c r="F8" s="3">
        <v>3</v>
      </c>
      <c r="G8" s="3" t="s">
        <v>16</v>
      </c>
      <c r="H8" s="3" t="s">
        <v>17</v>
      </c>
      <c r="I8" s="3" t="s">
        <v>216</v>
      </c>
      <c r="J8" s="3" t="s">
        <v>124</v>
      </c>
      <c r="K8" s="3">
        <v>1</v>
      </c>
      <c r="L8" s="3" t="s">
        <v>199</v>
      </c>
      <c r="M8" s="3" t="str">
        <f>IF(B8="","","LIST"&amp;"_"&amp;IFERROR(VLOOKUP(B8,LOOKUPS!$K$2:$L$10,2,FALSE),"UNK")&amp;"_"&amp;IFERROR(VLOOKUP(C8,LOOKUPS!$N$2:$O$10,2,FALSE),"UNK")&amp;"_"&amp;UPPER(L8))</f>
        <v>LIST_ITNIC_REQ_SHS</v>
      </c>
      <c r="N8" s="3">
        <f>IF(M8="","",COUNTIF($M$2:M8,M8))</f>
        <v>3</v>
      </c>
      <c r="O8" s="3" t="s">
        <v>772</v>
      </c>
      <c r="P8" s="3">
        <v>5</v>
      </c>
      <c r="Q8" s="3" t="s">
        <v>217</v>
      </c>
      <c r="R8" s="3">
        <v>5</v>
      </c>
      <c r="S8" s="3" t="s">
        <v>17</v>
      </c>
      <c r="T8" s="3" t="s">
        <v>218</v>
      </c>
      <c r="U8" s="3">
        <v>3</v>
      </c>
      <c r="V8" s="3" t="s">
        <v>17</v>
      </c>
      <c r="W8" s="3" t="s">
        <v>219</v>
      </c>
      <c r="X8" s="3" t="s">
        <v>220</v>
      </c>
      <c r="Y8" s="3" t="s">
        <v>17</v>
      </c>
      <c r="Z8" s="3" t="s">
        <v>221</v>
      </c>
      <c r="AA8" s="3">
        <v>3</v>
      </c>
      <c r="AB8" s="3" t="s">
        <v>17</v>
      </c>
      <c r="AC8" s="3" t="s">
        <v>222</v>
      </c>
      <c r="AD8" s="3">
        <v>5</v>
      </c>
      <c r="AE8" s="3" t="s">
        <v>17</v>
      </c>
      <c r="AF8" s="3" t="s">
        <v>17</v>
      </c>
      <c r="AG8" s="3" t="s">
        <v>804</v>
      </c>
    </row>
    <row r="9" spans="1:33" ht="43.2" x14ac:dyDescent="0.3">
      <c r="A9" s="3" t="str">
        <f t="shared" si="0"/>
        <v>LIST_CGT_REQ_SPLITYR_001</v>
      </c>
      <c r="B9" s="6" t="s">
        <v>28</v>
      </c>
      <c r="C9" s="6" t="s">
        <v>22</v>
      </c>
      <c r="D9" s="6" t="s">
        <v>428</v>
      </c>
      <c r="E9" s="6" t="s">
        <v>31</v>
      </c>
      <c r="F9" s="6">
        <v>3</v>
      </c>
      <c r="G9" s="6" t="s">
        <v>16</v>
      </c>
      <c r="H9" s="6" t="s">
        <v>17</v>
      </c>
      <c r="I9" s="6" t="s">
        <v>429</v>
      </c>
      <c r="J9" s="6" t="s">
        <v>430</v>
      </c>
      <c r="K9" s="6">
        <v>1</v>
      </c>
      <c r="L9" s="6" t="s">
        <v>431</v>
      </c>
      <c r="M9" s="3" t="str">
        <f>IF(B9="","","LIST"&amp;"_"&amp;IFERROR(VLOOKUP(B9,LOOKUPS!$K$2:$L$10,2,FALSE),"UNK")&amp;"_"&amp;IFERROR(VLOOKUP(C9,LOOKUPS!$N$2:$O$10,2,FALSE),"UNK")&amp;"_"&amp;UPPER(L9))</f>
        <v>LIST_CGT_REQ_SPLITYR</v>
      </c>
      <c r="N9" s="3">
        <f>IF(M9="","",COUNTIF($M$2:M9,M9))</f>
        <v>1</v>
      </c>
      <c r="O9" s="6" t="s">
        <v>432</v>
      </c>
      <c r="P9" s="6">
        <v>2</v>
      </c>
      <c r="Q9" s="6" t="s">
        <v>433</v>
      </c>
      <c r="R9" s="6" t="s">
        <v>434</v>
      </c>
      <c r="S9" s="3" t="s">
        <v>17</v>
      </c>
      <c r="T9" s="6" t="s">
        <v>435</v>
      </c>
      <c r="U9" s="6" t="s">
        <v>436</v>
      </c>
      <c r="V9" s="3" t="s">
        <v>17</v>
      </c>
      <c r="AF9" s="6" t="s">
        <v>17</v>
      </c>
      <c r="AG9" s="6" t="s">
        <v>437</v>
      </c>
    </row>
    <row r="10" spans="1:33" ht="43.2" x14ac:dyDescent="0.3">
      <c r="A10" s="3" t="str">
        <f t="shared" si="0"/>
        <v>LIST_CGT_REQ_SPLITYR_002</v>
      </c>
      <c r="B10" s="6" t="s">
        <v>28</v>
      </c>
      <c r="C10" s="6" t="s">
        <v>22</v>
      </c>
      <c r="D10" s="6" t="s">
        <v>428</v>
      </c>
      <c r="E10" s="6" t="s">
        <v>31</v>
      </c>
      <c r="F10" s="6">
        <v>3</v>
      </c>
      <c r="G10" s="6" t="s">
        <v>16</v>
      </c>
      <c r="H10" s="6" t="s">
        <v>17</v>
      </c>
      <c r="I10" s="6" t="s">
        <v>438</v>
      </c>
      <c r="J10" s="6" t="s">
        <v>430</v>
      </c>
      <c r="K10" s="6">
        <v>1</v>
      </c>
      <c r="L10" s="6" t="s">
        <v>431</v>
      </c>
      <c r="M10" s="3" t="str">
        <f>IF(B10="","","LIST"&amp;"_"&amp;IFERROR(VLOOKUP(B10,LOOKUPS!$K$2:$L$10,2,FALSE),"UNK")&amp;"_"&amp;IFERROR(VLOOKUP(C10,LOOKUPS!$N$2:$O$10,2,FALSE),"UNK")&amp;"_"&amp;UPPER(L10))</f>
        <v>LIST_CGT_REQ_SPLITYR</v>
      </c>
      <c r="N10" s="3">
        <f>IF(M10="","",COUNTIF($M$2:M10,M10))</f>
        <v>2</v>
      </c>
      <c r="O10" s="6" t="s">
        <v>439</v>
      </c>
      <c r="P10" s="6">
        <v>2</v>
      </c>
      <c r="Q10" s="6" t="s">
        <v>440</v>
      </c>
      <c r="R10" s="6" t="s">
        <v>441</v>
      </c>
      <c r="S10" s="3" t="s">
        <v>17</v>
      </c>
      <c r="T10" s="6" t="s">
        <v>442</v>
      </c>
      <c r="U10" s="6" t="s">
        <v>443</v>
      </c>
      <c r="V10" s="3" t="s">
        <v>17</v>
      </c>
      <c r="AF10" s="6" t="s">
        <v>17</v>
      </c>
      <c r="AG10" s="6" t="s">
        <v>444</v>
      </c>
    </row>
    <row r="11" spans="1:33" ht="57.6" x14ac:dyDescent="0.3">
      <c r="A11" s="3" t="str">
        <f t="shared" si="0"/>
        <v>LIST_CGT_REQ_SPLITYR_003</v>
      </c>
      <c r="B11" s="6" t="s">
        <v>28</v>
      </c>
      <c r="C11" s="6" t="s">
        <v>22</v>
      </c>
      <c r="D11" s="6" t="s">
        <v>428</v>
      </c>
      <c r="E11" s="6" t="s">
        <v>31</v>
      </c>
      <c r="F11" s="6">
        <v>3</v>
      </c>
      <c r="G11" s="6" t="s">
        <v>16</v>
      </c>
      <c r="H11" s="6" t="s">
        <v>17</v>
      </c>
      <c r="I11" s="6" t="s">
        <v>445</v>
      </c>
      <c r="J11" s="6" t="s">
        <v>430</v>
      </c>
      <c r="K11" s="6">
        <v>1</v>
      </c>
      <c r="L11" s="6" t="s">
        <v>431</v>
      </c>
      <c r="M11" s="3" t="str">
        <f>IF(B11="","","LIST"&amp;"_"&amp;IFERROR(VLOOKUP(B11,LOOKUPS!$K$2:$L$10,2,FALSE),"UNK")&amp;"_"&amp;IFERROR(VLOOKUP(C11,LOOKUPS!$N$2:$O$10,2,FALSE),"UNK")&amp;"_"&amp;UPPER(L11))</f>
        <v>LIST_CGT_REQ_SPLITYR</v>
      </c>
      <c r="N11" s="3">
        <f>IF(M11="","",COUNTIF($M$2:M11,M11))</f>
        <v>3</v>
      </c>
      <c r="O11" s="6" t="s">
        <v>806</v>
      </c>
      <c r="P11" s="6">
        <v>3</v>
      </c>
      <c r="Q11" s="6" t="s">
        <v>446</v>
      </c>
      <c r="R11" s="6" t="s">
        <v>381</v>
      </c>
      <c r="S11" s="3" t="s">
        <v>17</v>
      </c>
      <c r="T11" s="6" t="s">
        <v>447</v>
      </c>
      <c r="U11" s="6" t="s">
        <v>448</v>
      </c>
      <c r="V11" s="3" t="s">
        <v>17</v>
      </c>
      <c r="W11" s="6" t="s">
        <v>449</v>
      </c>
      <c r="X11" s="6" t="s">
        <v>450</v>
      </c>
      <c r="Y11" s="6" t="s">
        <v>17</v>
      </c>
      <c r="AF11" s="6" t="s">
        <v>17</v>
      </c>
      <c r="AG11" s="6" t="s">
        <v>451</v>
      </c>
    </row>
    <row r="12" spans="1:33" ht="57.6" x14ac:dyDescent="0.3">
      <c r="A12" s="3" t="str">
        <f t="shared" si="0"/>
        <v>LIST_CGT_REQ_SPLITYR_004</v>
      </c>
      <c r="B12" s="6" t="s">
        <v>28</v>
      </c>
      <c r="C12" s="6" t="s">
        <v>22</v>
      </c>
      <c r="D12" s="6" t="s">
        <v>428</v>
      </c>
      <c r="E12" s="6" t="s">
        <v>31</v>
      </c>
      <c r="F12" s="6">
        <v>3</v>
      </c>
      <c r="G12" s="6" t="s">
        <v>16</v>
      </c>
      <c r="H12" s="6" t="s">
        <v>17</v>
      </c>
      <c r="I12" s="6" t="s">
        <v>452</v>
      </c>
      <c r="J12" s="6" t="s">
        <v>430</v>
      </c>
      <c r="K12" s="6">
        <v>1</v>
      </c>
      <c r="L12" s="6" t="s">
        <v>431</v>
      </c>
      <c r="M12" s="3" t="str">
        <f>IF(B12="","","LIST"&amp;"_"&amp;IFERROR(VLOOKUP(B12,LOOKUPS!$K$2:$L$10,2,FALSE),"UNK")&amp;"_"&amp;IFERROR(VLOOKUP(C12,LOOKUPS!$N$2:$O$10,2,FALSE),"UNK")&amp;"_"&amp;UPPER(L12))</f>
        <v>LIST_CGT_REQ_SPLITYR</v>
      </c>
      <c r="N12" s="3">
        <f>IF(M12="","",COUNTIF($M$2:M12,M12))</f>
        <v>4</v>
      </c>
      <c r="O12" s="6" t="s">
        <v>453</v>
      </c>
      <c r="P12" s="6">
        <v>2</v>
      </c>
      <c r="Q12" s="6" t="s">
        <v>454</v>
      </c>
      <c r="R12" s="6" t="s">
        <v>455</v>
      </c>
      <c r="S12" s="3" t="s">
        <v>17</v>
      </c>
      <c r="T12" s="6" t="s">
        <v>456</v>
      </c>
      <c r="U12" s="6" t="s">
        <v>457</v>
      </c>
      <c r="V12" s="3" t="s">
        <v>17</v>
      </c>
      <c r="AF12" s="6" t="s">
        <v>17</v>
      </c>
      <c r="AG12" s="6" t="s">
        <v>458</v>
      </c>
    </row>
    <row r="13" spans="1:33" ht="43.2" x14ac:dyDescent="0.3">
      <c r="A13" s="3" t="str">
        <f t="shared" si="0"/>
        <v>LIST_CGT_REQ_SPLITYR_005</v>
      </c>
      <c r="B13" s="6" t="s">
        <v>28</v>
      </c>
      <c r="C13" s="6" t="s">
        <v>22</v>
      </c>
      <c r="D13" s="6" t="s">
        <v>428</v>
      </c>
      <c r="E13" s="6" t="s">
        <v>31</v>
      </c>
      <c r="F13" s="6">
        <v>3</v>
      </c>
      <c r="G13" s="6" t="s">
        <v>16</v>
      </c>
      <c r="H13" s="6" t="s">
        <v>17</v>
      </c>
      <c r="I13" s="6" t="s">
        <v>459</v>
      </c>
      <c r="J13" s="6" t="s">
        <v>430</v>
      </c>
      <c r="K13" s="6">
        <v>1</v>
      </c>
      <c r="L13" s="6" t="s">
        <v>431</v>
      </c>
      <c r="M13" s="3" t="str">
        <f>IF(B13="","","LIST"&amp;"_"&amp;IFERROR(VLOOKUP(B13,LOOKUPS!$K$2:$L$10,2,FALSE),"UNK")&amp;"_"&amp;IFERROR(VLOOKUP(C13,LOOKUPS!$N$2:$O$10,2,FALSE),"UNK")&amp;"_"&amp;UPPER(L13))</f>
        <v>LIST_CGT_REQ_SPLITYR</v>
      </c>
      <c r="N13" s="3">
        <f>IF(M13="","",COUNTIF($M$2:M13,M13))</f>
        <v>5</v>
      </c>
      <c r="O13" s="3" t="s">
        <v>460</v>
      </c>
      <c r="P13" s="3">
        <v>2</v>
      </c>
      <c r="Q13" s="3" t="s">
        <v>461</v>
      </c>
      <c r="R13" s="3" t="s">
        <v>441</v>
      </c>
      <c r="S13" s="3" t="s">
        <v>17</v>
      </c>
      <c r="T13" s="3" t="s">
        <v>462</v>
      </c>
      <c r="U13" s="3" t="s">
        <v>463</v>
      </c>
      <c r="V13" s="3" t="s">
        <v>17</v>
      </c>
      <c r="W13" s="3"/>
      <c r="X13" s="3"/>
      <c r="Y13" s="3"/>
      <c r="Z13" s="3"/>
      <c r="AA13" s="3"/>
      <c r="AB13" s="3"/>
      <c r="AC13" s="3"/>
      <c r="AD13" s="3"/>
      <c r="AE13" s="3"/>
      <c r="AF13" s="3" t="s">
        <v>17</v>
      </c>
      <c r="AG13" s="3" t="s">
        <v>464</v>
      </c>
    </row>
    <row r="14" spans="1:33" ht="43.2" x14ac:dyDescent="0.3">
      <c r="A14" s="3" t="str">
        <f t="shared" si="0"/>
        <v>LIST_CGT_REQ_SPLITYR_006</v>
      </c>
      <c r="B14" s="6" t="s">
        <v>28</v>
      </c>
      <c r="C14" s="6" t="s">
        <v>22</v>
      </c>
      <c r="D14" s="6" t="s">
        <v>428</v>
      </c>
      <c r="E14" s="6" t="s">
        <v>31</v>
      </c>
      <c r="F14" s="6">
        <v>3</v>
      </c>
      <c r="G14" s="6" t="s">
        <v>16</v>
      </c>
      <c r="H14" s="6" t="s">
        <v>17</v>
      </c>
      <c r="I14" s="6" t="s">
        <v>465</v>
      </c>
      <c r="J14" s="6" t="s">
        <v>430</v>
      </c>
      <c r="K14" s="6">
        <v>1</v>
      </c>
      <c r="L14" s="6" t="s">
        <v>431</v>
      </c>
      <c r="M14" s="3" t="str">
        <f>IF(B14="","","LIST"&amp;"_"&amp;IFERROR(VLOOKUP(B14,LOOKUPS!$K$2:$L$10,2,FALSE),"UNK")&amp;"_"&amp;IFERROR(VLOOKUP(C14,LOOKUPS!$N$2:$O$10,2,FALSE),"UNK")&amp;"_"&amp;UPPER(L14))</f>
        <v>LIST_CGT_REQ_SPLITYR</v>
      </c>
      <c r="N14" s="3">
        <f>IF(M14="","",COUNTIF($M$2:M14,M14))</f>
        <v>6</v>
      </c>
      <c r="O14" s="6" t="s">
        <v>466</v>
      </c>
      <c r="P14" s="6">
        <v>2</v>
      </c>
      <c r="Q14" s="6" t="s">
        <v>467</v>
      </c>
      <c r="R14" s="6" t="s">
        <v>468</v>
      </c>
      <c r="S14" s="3" t="s">
        <v>17</v>
      </c>
      <c r="T14" s="6" t="s">
        <v>469</v>
      </c>
      <c r="U14" s="6" t="s">
        <v>441</v>
      </c>
      <c r="V14" s="3" t="s">
        <v>17</v>
      </c>
      <c r="AF14" s="6" t="s">
        <v>17</v>
      </c>
      <c r="AG14" s="6" t="s">
        <v>470</v>
      </c>
    </row>
    <row r="15" spans="1:33" ht="43.2" x14ac:dyDescent="0.3">
      <c r="A15" s="3" t="str">
        <f t="shared" si="0"/>
        <v>LIST_CGT_REQ_RESDOM_001</v>
      </c>
      <c r="B15" s="6" t="s">
        <v>28</v>
      </c>
      <c r="C15" s="6" t="s">
        <v>22</v>
      </c>
      <c r="D15" s="6" t="s">
        <v>471</v>
      </c>
      <c r="E15" s="6" t="s">
        <v>31</v>
      </c>
      <c r="F15" s="6">
        <v>3</v>
      </c>
      <c r="G15" s="6" t="s">
        <v>16</v>
      </c>
      <c r="H15" s="6" t="s">
        <v>17</v>
      </c>
      <c r="I15" s="6" t="s">
        <v>472</v>
      </c>
      <c r="J15" s="6" t="s">
        <v>430</v>
      </c>
      <c r="K15" s="6">
        <v>1</v>
      </c>
      <c r="L15" s="6" t="s">
        <v>473</v>
      </c>
      <c r="M15" s="3" t="str">
        <f>IF(B15="","","LIST"&amp;"_"&amp;IFERROR(VLOOKUP(B15,LOOKUPS!$K$2:$L$10,2,FALSE),"UNK")&amp;"_"&amp;IFERROR(VLOOKUP(C15,LOOKUPS!$N$2:$O$10,2,FALSE),"UNK")&amp;"_"&amp;UPPER(L15))</f>
        <v>LIST_CGT_REQ_RESDOM</v>
      </c>
      <c r="N15" s="3">
        <f>IF(M15="","",COUNTIF($M$2:M15,M15))</f>
        <v>1</v>
      </c>
      <c r="O15" s="6" t="s">
        <v>474</v>
      </c>
      <c r="P15" s="6">
        <v>2</v>
      </c>
      <c r="Q15" s="6" t="s">
        <v>475</v>
      </c>
      <c r="R15" s="6">
        <v>16</v>
      </c>
      <c r="S15" s="3" t="s">
        <v>17</v>
      </c>
      <c r="T15" s="6" t="s">
        <v>476</v>
      </c>
      <c r="U15" s="6">
        <v>3</v>
      </c>
      <c r="V15" s="3" t="s">
        <v>17</v>
      </c>
      <c r="AF15" s="6" t="s">
        <v>17</v>
      </c>
      <c r="AG15" s="6" t="s">
        <v>477</v>
      </c>
    </row>
    <row r="16" spans="1:33" ht="43.2" x14ac:dyDescent="0.3">
      <c r="A16" s="3" t="str">
        <f t="shared" si="0"/>
        <v>LIST_CGT_REQ_RESDOM_002</v>
      </c>
      <c r="B16" s="6" t="s">
        <v>28</v>
      </c>
      <c r="C16" s="6" t="s">
        <v>22</v>
      </c>
      <c r="D16" s="6" t="s">
        <v>471</v>
      </c>
      <c r="E16" s="6" t="s">
        <v>31</v>
      </c>
      <c r="F16" s="6">
        <v>3</v>
      </c>
      <c r="G16" s="6" t="s">
        <v>16</v>
      </c>
      <c r="H16" s="6" t="s">
        <v>17</v>
      </c>
      <c r="I16" s="6" t="s">
        <v>472</v>
      </c>
      <c r="J16" s="6" t="s">
        <v>430</v>
      </c>
      <c r="K16" s="6">
        <v>1</v>
      </c>
      <c r="L16" s="6" t="s">
        <v>473</v>
      </c>
      <c r="M16" s="3" t="str">
        <f>IF(B16="","","LIST"&amp;"_"&amp;IFERROR(VLOOKUP(B16,LOOKUPS!$K$2:$L$10,2,FALSE),"UNK")&amp;"_"&amp;IFERROR(VLOOKUP(C16,LOOKUPS!$N$2:$O$10,2,FALSE),"UNK")&amp;"_"&amp;UPPER(L16))</f>
        <v>LIST_CGT_REQ_RESDOM</v>
      </c>
      <c r="N16" s="3">
        <f>IF(M16="","",COUNTIF($M$2:M16,M16))</f>
        <v>2</v>
      </c>
      <c r="O16" s="6" t="s">
        <v>478</v>
      </c>
      <c r="P16" s="6">
        <v>2</v>
      </c>
      <c r="Q16" s="6" t="s">
        <v>479</v>
      </c>
      <c r="R16" s="6">
        <v>46</v>
      </c>
      <c r="S16" s="3" t="s">
        <v>17</v>
      </c>
      <c r="T16" s="6" t="s">
        <v>230</v>
      </c>
      <c r="U16" s="6">
        <v>3</v>
      </c>
      <c r="V16" s="3" t="s">
        <v>17</v>
      </c>
      <c r="AF16" s="6" t="s">
        <v>17</v>
      </c>
      <c r="AG16" s="6" t="s">
        <v>480</v>
      </c>
    </row>
    <row r="17" spans="1:33" ht="43.2" x14ac:dyDescent="0.3">
      <c r="A17" s="3" t="str">
        <f t="shared" si="0"/>
        <v>LIST_CGT_REQ_RESDOM_003</v>
      </c>
      <c r="B17" s="6" t="s">
        <v>28</v>
      </c>
      <c r="C17" s="6" t="s">
        <v>22</v>
      </c>
      <c r="D17" s="6" t="s">
        <v>471</v>
      </c>
      <c r="E17" s="6" t="s">
        <v>31</v>
      </c>
      <c r="F17" s="6">
        <v>3</v>
      </c>
      <c r="G17" s="6" t="s">
        <v>16</v>
      </c>
      <c r="H17" s="6" t="s">
        <v>17</v>
      </c>
      <c r="I17" s="6" t="s">
        <v>481</v>
      </c>
      <c r="J17" s="6" t="s">
        <v>430</v>
      </c>
      <c r="K17" s="6">
        <v>1</v>
      </c>
      <c r="L17" s="6" t="s">
        <v>473</v>
      </c>
      <c r="M17" s="3" t="str">
        <f>IF(B17="","","LIST"&amp;"_"&amp;IFERROR(VLOOKUP(B17,LOOKUPS!$K$2:$L$10,2,FALSE),"UNK")&amp;"_"&amp;IFERROR(VLOOKUP(C17,LOOKUPS!$N$2:$O$10,2,FALSE),"UNK")&amp;"_"&amp;UPPER(L17))</f>
        <v>LIST_CGT_REQ_RESDOM</v>
      </c>
      <c r="N17" s="3">
        <f>IF(M17="","",COUNTIF($M$2:M17,M17))</f>
        <v>3</v>
      </c>
      <c r="O17" s="6" t="s">
        <v>482</v>
      </c>
      <c r="P17" s="6">
        <v>2</v>
      </c>
      <c r="Q17" s="6" t="s">
        <v>483</v>
      </c>
      <c r="R17" s="6">
        <v>183</v>
      </c>
      <c r="S17" s="3" t="s">
        <v>17</v>
      </c>
      <c r="T17" s="6" t="s">
        <v>484</v>
      </c>
      <c r="U17" s="6">
        <v>30</v>
      </c>
      <c r="V17" s="3" t="s">
        <v>17</v>
      </c>
      <c r="AF17" s="6" t="s">
        <v>17</v>
      </c>
      <c r="AG17" s="6" t="s">
        <v>485</v>
      </c>
    </row>
    <row r="18" spans="1:33" ht="57.6" x14ac:dyDescent="0.3">
      <c r="A18" s="3" t="str">
        <f t="shared" si="0"/>
        <v>LIST_CGT_REQ_RESDOM_004</v>
      </c>
      <c r="B18" s="6" t="s">
        <v>28</v>
      </c>
      <c r="C18" s="6" t="s">
        <v>22</v>
      </c>
      <c r="D18" s="6" t="s">
        <v>471</v>
      </c>
      <c r="E18" s="6" t="s">
        <v>31</v>
      </c>
      <c r="F18" s="6">
        <v>3</v>
      </c>
      <c r="G18" s="6" t="s">
        <v>16</v>
      </c>
      <c r="H18" s="6" t="s">
        <v>17</v>
      </c>
      <c r="I18" s="6" t="s">
        <v>486</v>
      </c>
      <c r="J18" s="6" t="s">
        <v>430</v>
      </c>
      <c r="K18" s="6">
        <v>1</v>
      </c>
      <c r="L18" s="6" t="s">
        <v>473</v>
      </c>
      <c r="M18" s="3" t="str">
        <f>IF(B18="","","LIST"&amp;"_"&amp;IFERROR(VLOOKUP(B18,LOOKUPS!$K$2:$L$10,2,FALSE),"UNK")&amp;"_"&amp;IFERROR(VLOOKUP(C18,LOOKUPS!$N$2:$O$10,2,FALSE),"UNK")&amp;"_"&amp;UPPER(L18))</f>
        <v>LIST_CGT_REQ_RESDOM</v>
      </c>
      <c r="N18" s="3">
        <f>IF(M18="","",COUNTIF($M$2:M18,M18))</f>
        <v>4</v>
      </c>
      <c r="O18" s="6" t="s">
        <v>487</v>
      </c>
      <c r="P18" s="6">
        <v>3</v>
      </c>
      <c r="Q18" s="6" t="s">
        <v>488</v>
      </c>
      <c r="R18" s="6">
        <v>91</v>
      </c>
      <c r="S18" s="3" t="s">
        <v>17</v>
      </c>
      <c r="T18" s="6" t="s">
        <v>489</v>
      </c>
      <c r="U18" s="6">
        <v>40</v>
      </c>
      <c r="V18" s="3" t="s">
        <v>17</v>
      </c>
      <c r="W18" s="6" t="s">
        <v>490</v>
      </c>
      <c r="X18" s="6">
        <v>90</v>
      </c>
      <c r="Y18" s="6" t="s">
        <v>17</v>
      </c>
      <c r="AF18" s="6" t="s">
        <v>17</v>
      </c>
      <c r="AG18" s="6" t="s">
        <v>491</v>
      </c>
    </row>
    <row r="19" spans="1:33" ht="72" x14ac:dyDescent="0.3">
      <c r="A19" s="3" t="str">
        <f t="shared" si="0"/>
        <v>LIST_CGT_REQ_RESDOM_005</v>
      </c>
      <c r="B19" s="6" t="s">
        <v>28</v>
      </c>
      <c r="C19" s="6" t="s">
        <v>22</v>
      </c>
      <c r="D19" s="6" t="s">
        <v>471</v>
      </c>
      <c r="E19" s="6" t="s">
        <v>31</v>
      </c>
      <c r="F19" s="6">
        <v>3</v>
      </c>
      <c r="G19" s="6" t="s">
        <v>16</v>
      </c>
      <c r="H19" s="6" t="s">
        <v>17</v>
      </c>
      <c r="I19" s="6" t="s">
        <v>492</v>
      </c>
      <c r="J19" s="6" t="s">
        <v>430</v>
      </c>
      <c r="K19" s="6">
        <v>1</v>
      </c>
      <c r="L19" s="6" t="s">
        <v>473</v>
      </c>
      <c r="M19" s="3" t="str">
        <f>IF(B19="","","LIST"&amp;"_"&amp;IFERROR(VLOOKUP(B19,LOOKUPS!$K$2:$L$10,2,FALSE),"UNK")&amp;"_"&amp;IFERROR(VLOOKUP(C19,LOOKUPS!$N$2:$O$10,2,FALSE),"UNK")&amp;"_"&amp;UPPER(L19))</f>
        <v>LIST_CGT_REQ_RESDOM</v>
      </c>
      <c r="N19" s="3">
        <f>IF(M19="","",COUNTIF($M$2:M19,M19))</f>
        <v>5</v>
      </c>
      <c r="O19" s="6" t="s">
        <v>493</v>
      </c>
      <c r="P19" s="6">
        <v>3</v>
      </c>
      <c r="Q19" s="6" t="s">
        <v>494</v>
      </c>
      <c r="R19" s="6" t="s">
        <v>495</v>
      </c>
      <c r="S19" s="3" t="s">
        <v>17</v>
      </c>
      <c r="T19" s="6" t="s">
        <v>496</v>
      </c>
      <c r="U19" s="6" t="s">
        <v>497</v>
      </c>
      <c r="V19" s="3" t="s">
        <v>17</v>
      </c>
      <c r="W19" s="6" t="s">
        <v>494</v>
      </c>
      <c r="X19" s="6" t="s">
        <v>498</v>
      </c>
      <c r="Y19" s="6" t="s">
        <v>17</v>
      </c>
      <c r="AF19" s="6" t="s">
        <v>17</v>
      </c>
      <c r="AG19" s="6" t="s">
        <v>499</v>
      </c>
    </row>
    <row r="20" spans="1:33" ht="72" x14ac:dyDescent="0.3">
      <c r="A20" s="3" t="str">
        <f t="shared" si="0"/>
        <v>LIST_CGT_REQ_RESDOM_006</v>
      </c>
      <c r="B20" s="6" t="s">
        <v>28</v>
      </c>
      <c r="C20" s="6" t="s">
        <v>22</v>
      </c>
      <c r="D20" s="6" t="s">
        <v>471</v>
      </c>
      <c r="E20" s="6" t="s">
        <v>31</v>
      </c>
      <c r="F20" s="6">
        <v>3</v>
      </c>
      <c r="G20" s="6" t="s">
        <v>16</v>
      </c>
      <c r="H20" s="6" t="s">
        <v>17</v>
      </c>
      <c r="I20" s="6" t="s">
        <v>500</v>
      </c>
      <c r="J20" s="6" t="s">
        <v>430</v>
      </c>
      <c r="K20" s="6">
        <v>1</v>
      </c>
      <c r="L20" s="6" t="s">
        <v>473</v>
      </c>
      <c r="M20" s="3" t="str">
        <f>IF(B20="","","LIST"&amp;"_"&amp;IFERROR(VLOOKUP(B20,LOOKUPS!$K$2:$L$10,2,FALSE),"UNK")&amp;"_"&amp;IFERROR(VLOOKUP(C20,LOOKUPS!$N$2:$O$10,2,FALSE),"UNK")&amp;"_"&amp;UPPER(L20))</f>
        <v>LIST_CGT_REQ_RESDOM</v>
      </c>
      <c r="N20" s="3">
        <f>IF(M20="","",COUNTIF($M$2:M20,M20))</f>
        <v>6</v>
      </c>
      <c r="O20" s="6" t="s">
        <v>501</v>
      </c>
      <c r="P20" s="6">
        <v>3</v>
      </c>
      <c r="Q20" s="6" t="s">
        <v>502</v>
      </c>
      <c r="R20" s="6">
        <v>15</v>
      </c>
      <c r="S20" s="3" t="s">
        <v>17</v>
      </c>
      <c r="T20" s="6" t="s">
        <v>503</v>
      </c>
      <c r="U20" s="6">
        <v>20</v>
      </c>
      <c r="V20" s="3" t="s">
        <v>17</v>
      </c>
      <c r="W20" s="6" t="s">
        <v>504</v>
      </c>
      <c r="X20" s="6" t="s">
        <v>505</v>
      </c>
      <c r="Y20" s="6" t="s">
        <v>17</v>
      </c>
      <c r="AF20" s="6" t="s">
        <v>17</v>
      </c>
      <c r="AG20" s="6" t="s">
        <v>506</v>
      </c>
    </row>
    <row r="21" spans="1:33" ht="28.8" x14ac:dyDescent="0.3">
      <c r="A21" s="3" t="str">
        <f t="shared" si="0"/>
        <v>LIST_IHT_REQ_DEEMDOM_001</v>
      </c>
      <c r="B21" s="6" t="s">
        <v>34</v>
      </c>
      <c r="C21" s="6" t="s">
        <v>22</v>
      </c>
      <c r="D21" s="6" t="s">
        <v>608</v>
      </c>
      <c r="E21" s="6" t="s">
        <v>31</v>
      </c>
      <c r="F21" s="6">
        <v>3</v>
      </c>
      <c r="G21" s="6" t="s">
        <v>16</v>
      </c>
      <c r="H21" s="6" t="s">
        <v>17</v>
      </c>
      <c r="I21" s="6" t="s">
        <v>643</v>
      </c>
      <c r="J21" s="6" t="s">
        <v>590</v>
      </c>
      <c r="K21" s="6">
        <v>1</v>
      </c>
      <c r="L21" s="6" t="s">
        <v>591</v>
      </c>
      <c r="M21" s="3" t="str">
        <f>IF(B21="","","LIST"&amp;"_"&amp;IFERROR(VLOOKUP(B21,LOOKUPS!$K$2:$L$10,2,FALSE),"UNK")&amp;"_"&amp;IFERROR(VLOOKUP(C21,LOOKUPS!$N$2:$O$10,2,FALSE),"UNK")&amp;"_"&amp;UPPER(L21))</f>
        <v>LIST_IHT_REQ_DEEMDOM</v>
      </c>
      <c r="N21" s="3">
        <f>IF(M21="","",COUNTIF($M$2:M21,M21))</f>
        <v>1</v>
      </c>
      <c r="O21" s="6" t="s">
        <v>644</v>
      </c>
      <c r="P21" s="6">
        <v>2</v>
      </c>
      <c r="Q21" s="10" t="s">
        <v>645</v>
      </c>
      <c r="R21" s="10" t="s">
        <v>345</v>
      </c>
      <c r="S21" s="3" t="s">
        <v>17</v>
      </c>
      <c r="T21" s="6" t="s">
        <v>646</v>
      </c>
      <c r="U21" s="11" t="s">
        <v>344</v>
      </c>
      <c r="V21" s="3" t="s">
        <v>17</v>
      </c>
      <c r="X21" s="10"/>
      <c r="AA21" s="11"/>
      <c r="AF21" s="6" t="s">
        <v>17</v>
      </c>
      <c r="AG21" s="6" t="s">
        <v>647</v>
      </c>
    </row>
    <row r="22" spans="1:33" ht="28.8" x14ac:dyDescent="0.3">
      <c r="A22" s="3" t="str">
        <f t="shared" si="0"/>
        <v>LIST_IHT_REQ_DEEMDOM_002</v>
      </c>
      <c r="B22" s="6" t="s">
        <v>34</v>
      </c>
      <c r="C22" s="6" t="s">
        <v>22</v>
      </c>
      <c r="D22" s="6" t="s">
        <v>608</v>
      </c>
      <c r="E22" s="6" t="s">
        <v>31</v>
      </c>
      <c r="F22" s="6">
        <v>3</v>
      </c>
      <c r="G22" s="6" t="s">
        <v>16</v>
      </c>
      <c r="H22" s="6" t="s">
        <v>17</v>
      </c>
      <c r="I22" s="6" t="s">
        <v>593</v>
      </c>
      <c r="J22" s="6" t="s">
        <v>590</v>
      </c>
      <c r="K22" s="6">
        <v>1</v>
      </c>
      <c r="L22" s="6" t="s">
        <v>591</v>
      </c>
      <c r="M22" s="3" t="str">
        <f>IF(B22="","","LIST"&amp;"_"&amp;IFERROR(VLOOKUP(B22,LOOKUPS!$K$2:$L$10,2,FALSE),"UNK")&amp;"_"&amp;IFERROR(VLOOKUP(C22,LOOKUPS!$N$2:$O$10,2,FALSE),"UNK")&amp;"_"&amp;UPPER(L22))</f>
        <v>LIST_IHT_REQ_DEEMDOM</v>
      </c>
      <c r="N22" s="3">
        <f>IF(M22="","",COUNTIF($M$2:M22,M22))</f>
        <v>2</v>
      </c>
      <c r="O22" s="6" t="s">
        <v>648</v>
      </c>
      <c r="P22" s="6">
        <v>2</v>
      </c>
      <c r="Q22" s="11" t="s">
        <v>476</v>
      </c>
      <c r="R22" s="6">
        <v>3</v>
      </c>
      <c r="S22" s="3" t="s">
        <v>17</v>
      </c>
      <c r="T22" s="6" t="s">
        <v>649</v>
      </c>
      <c r="U22" s="6" t="s">
        <v>594</v>
      </c>
      <c r="V22" s="3" t="s">
        <v>17</v>
      </c>
      <c r="AF22" s="6" t="s">
        <v>17</v>
      </c>
      <c r="AG22" s="6" t="s">
        <v>650</v>
      </c>
    </row>
    <row r="23" spans="1:33" ht="57.6" x14ac:dyDescent="0.3">
      <c r="A23" s="3" t="str">
        <f t="shared" si="0"/>
        <v>LIST_IHT_REQ_DEEMDOM_003</v>
      </c>
      <c r="B23" s="6" t="s">
        <v>34</v>
      </c>
      <c r="C23" s="6" t="s">
        <v>22</v>
      </c>
      <c r="D23" s="6" t="s">
        <v>608</v>
      </c>
      <c r="E23" s="6" t="s">
        <v>31</v>
      </c>
      <c r="F23" s="6">
        <v>3</v>
      </c>
      <c r="G23" s="6" t="s">
        <v>16</v>
      </c>
      <c r="H23" s="6" t="s">
        <v>17</v>
      </c>
      <c r="I23" s="6" t="s">
        <v>596</v>
      </c>
      <c r="J23" s="6" t="s">
        <v>590</v>
      </c>
      <c r="K23" s="6">
        <v>1</v>
      </c>
      <c r="L23" s="6" t="s">
        <v>591</v>
      </c>
      <c r="M23" s="3" t="str">
        <f>IF(B23="","","LIST"&amp;"_"&amp;IFERROR(VLOOKUP(B23,LOOKUPS!$K$2:$L$10,2,FALSE),"UNK")&amp;"_"&amp;IFERROR(VLOOKUP(C23,LOOKUPS!$N$2:$O$10,2,FALSE),"UNK")&amp;"_"&amp;UPPER(L23))</f>
        <v>LIST_IHT_REQ_DEEMDOM</v>
      </c>
      <c r="N23" s="3">
        <f>IF(M23="","",COUNTIF($M$2:M23,M23))</f>
        <v>3</v>
      </c>
      <c r="O23" s="6" t="s">
        <v>651</v>
      </c>
      <c r="P23" s="6">
        <v>4</v>
      </c>
      <c r="Q23" s="11" t="s">
        <v>652</v>
      </c>
      <c r="R23" s="6" t="s">
        <v>381</v>
      </c>
      <c r="S23" s="3" t="s">
        <v>17</v>
      </c>
      <c r="T23" s="6" t="s">
        <v>494</v>
      </c>
      <c r="U23" s="6" t="s">
        <v>495</v>
      </c>
      <c r="V23" s="3" t="s">
        <v>17</v>
      </c>
      <c r="W23" s="6" t="s">
        <v>653</v>
      </c>
      <c r="X23" s="6">
        <v>1</v>
      </c>
      <c r="Y23" s="6" t="s">
        <v>17</v>
      </c>
      <c r="Z23" s="6" t="s">
        <v>476</v>
      </c>
      <c r="AA23" s="6">
        <v>2</v>
      </c>
      <c r="AB23" s="6" t="s">
        <v>17</v>
      </c>
      <c r="AF23" s="6" t="s">
        <v>17</v>
      </c>
      <c r="AG23" s="6" t="s">
        <v>654</v>
      </c>
    </row>
    <row r="24" spans="1:33" ht="57.6" x14ac:dyDescent="0.3">
      <c r="A24" s="3" t="str">
        <f t="shared" si="0"/>
        <v>LIST_IHT_REQ_DEEMDOM_004</v>
      </c>
      <c r="B24" s="6" t="s">
        <v>34</v>
      </c>
      <c r="C24" s="6" t="s">
        <v>22</v>
      </c>
      <c r="D24" s="6" t="s">
        <v>608</v>
      </c>
      <c r="E24" s="6" t="s">
        <v>31</v>
      </c>
      <c r="F24" s="6">
        <v>3</v>
      </c>
      <c r="G24" s="6" t="s">
        <v>16</v>
      </c>
      <c r="H24" s="6" t="s">
        <v>17</v>
      </c>
      <c r="I24" s="6" t="s">
        <v>655</v>
      </c>
      <c r="J24" s="6" t="s">
        <v>590</v>
      </c>
      <c r="K24" s="6">
        <v>1</v>
      </c>
      <c r="L24" s="6" t="s">
        <v>591</v>
      </c>
      <c r="M24" s="3" t="str">
        <f>IF(B24="","","LIST"&amp;"_"&amp;IFERROR(VLOOKUP(B24,LOOKUPS!$K$2:$L$10,2,FALSE),"UNK")&amp;"_"&amp;IFERROR(VLOOKUP(C24,LOOKUPS!$N$2:$O$10,2,FALSE),"UNK")&amp;"_"&amp;UPPER(L24))</f>
        <v>LIST_IHT_REQ_DEEMDOM</v>
      </c>
      <c r="N24" s="3">
        <f>IF(M24="","",COUNTIF($M$2:M24,M24))</f>
        <v>4</v>
      </c>
      <c r="O24" s="6" t="s">
        <v>656</v>
      </c>
      <c r="P24" s="6">
        <v>4</v>
      </c>
      <c r="Q24" s="6" t="s">
        <v>657</v>
      </c>
      <c r="R24" s="6">
        <v>15</v>
      </c>
      <c r="S24" s="3" t="s">
        <v>17</v>
      </c>
      <c r="T24" s="6" t="s">
        <v>658</v>
      </c>
      <c r="U24" s="6">
        <v>20</v>
      </c>
      <c r="V24" s="3" t="s">
        <v>17</v>
      </c>
      <c r="W24" s="6" t="s">
        <v>653</v>
      </c>
      <c r="X24" s="6">
        <v>1</v>
      </c>
      <c r="Y24" s="6" t="s">
        <v>17</v>
      </c>
      <c r="Z24" s="6" t="s">
        <v>476</v>
      </c>
      <c r="AA24" s="6">
        <v>4</v>
      </c>
      <c r="AB24" s="6" t="s">
        <v>17</v>
      </c>
      <c r="AF24" s="6" t="s">
        <v>17</v>
      </c>
      <c r="AG24" s="6" t="s">
        <v>659</v>
      </c>
    </row>
    <row r="25" spans="1:33" ht="43.2" x14ac:dyDescent="0.3">
      <c r="A25" s="3" t="str">
        <f t="shared" si="0"/>
        <v>LIST_IHT_REQ_DEEMDOM_005</v>
      </c>
      <c r="B25" s="6" t="s">
        <v>34</v>
      </c>
      <c r="C25" s="6" t="s">
        <v>22</v>
      </c>
      <c r="D25" s="6" t="s">
        <v>608</v>
      </c>
      <c r="E25" s="6" t="s">
        <v>31</v>
      </c>
      <c r="F25" s="6">
        <v>3</v>
      </c>
      <c r="G25" s="6" t="s">
        <v>16</v>
      </c>
      <c r="H25" s="6" t="s">
        <v>17</v>
      </c>
      <c r="I25" s="6" t="s">
        <v>660</v>
      </c>
      <c r="J25" s="6" t="s">
        <v>590</v>
      </c>
      <c r="K25" s="6">
        <v>1</v>
      </c>
      <c r="L25" s="6" t="s">
        <v>591</v>
      </c>
      <c r="M25" s="3" t="str">
        <f>IF(B25="","","LIST"&amp;"_"&amp;IFERROR(VLOOKUP(B25,LOOKUPS!$K$2:$L$10,2,FALSE),"UNK")&amp;"_"&amp;IFERROR(VLOOKUP(C25,LOOKUPS!$N$2:$O$10,2,FALSE),"UNK")&amp;"_"&amp;UPPER(L25))</f>
        <v>LIST_IHT_REQ_DEEMDOM</v>
      </c>
      <c r="N25" s="3">
        <f>IF(M25="","",COUNTIF($M$2:M25,M25))</f>
        <v>5</v>
      </c>
      <c r="O25" s="6" t="s">
        <v>661</v>
      </c>
      <c r="P25" s="6">
        <v>5</v>
      </c>
      <c r="Q25" s="11" t="s">
        <v>662</v>
      </c>
      <c r="R25" s="6">
        <v>3</v>
      </c>
      <c r="S25" s="3" t="s">
        <v>17</v>
      </c>
      <c r="T25" s="6" t="s">
        <v>663</v>
      </c>
      <c r="U25" s="6">
        <v>15</v>
      </c>
      <c r="V25" s="3" t="s">
        <v>17</v>
      </c>
      <c r="W25" s="6" t="s">
        <v>658</v>
      </c>
      <c r="X25" s="6">
        <v>20</v>
      </c>
      <c r="Y25" s="6" t="s">
        <v>17</v>
      </c>
      <c r="Z25" s="6" t="s">
        <v>653</v>
      </c>
      <c r="AA25" s="6">
        <v>1</v>
      </c>
      <c r="AB25" s="6" t="s">
        <v>17</v>
      </c>
      <c r="AC25" s="6" t="s">
        <v>664</v>
      </c>
      <c r="AD25" s="6">
        <v>4</v>
      </c>
      <c r="AE25" s="6" t="s">
        <v>17</v>
      </c>
      <c r="AF25" s="6" t="s">
        <v>17</v>
      </c>
      <c r="AG25" s="6" t="s">
        <v>665</v>
      </c>
    </row>
    <row r="26" spans="1:33" ht="28.8" x14ac:dyDescent="0.3">
      <c r="A26" s="3" t="str">
        <f t="shared" si="0"/>
        <v>LIST_IHT_REQ_DEEMDOM_006</v>
      </c>
      <c r="B26" s="6" t="s">
        <v>34</v>
      </c>
      <c r="C26" s="6" t="s">
        <v>22</v>
      </c>
      <c r="D26" s="6" t="s">
        <v>608</v>
      </c>
      <c r="E26" s="6" t="s">
        <v>31</v>
      </c>
      <c r="F26" s="6">
        <v>3</v>
      </c>
      <c r="G26" s="6" t="s">
        <v>16</v>
      </c>
      <c r="H26" s="6" t="s">
        <v>17</v>
      </c>
      <c r="I26" s="6" t="s">
        <v>606</v>
      </c>
      <c r="J26" s="6" t="s">
        <v>590</v>
      </c>
      <c r="K26" s="6">
        <v>1</v>
      </c>
      <c r="L26" s="6" t="s">
        <v>591</v>
      </c>
      <c r="M26" s="3" t="str">
        <f>IF(B26="","","LIST"&amp;"_"&amp;IFERROR(VLOOKUP(B26,LOOKUPS!$K$2:$L$10,2,FALSE),"UNK")&amp;"_"&amp;IFERROR(VLOOKUP(C26,LOOKUPS!$N$2:$O$10,2,FALSE),"UNK")&amp;"_"&amp;UPPER(L26))</f>
        <v>LIST_IHT_REQ_DEEMDOM</v>
      </c>
      <c r="N26" s="3">
        <f>IF(M26="","",COUNTIF($M$2:M26,M26))</f>
        <v>6</v>
      </c>
      <c r="O26" s="6" t="s">
        <v>666</v>
      </c>
      <c r="P26" s="6">
        <v>2</v>
      </c>
      <c r="Q26" s="6" t="s">
        <v>667</v>
      </c>
      <c r="R26" s="6" t="s">
        <v>595</v>
      </c>
      <c r="S26" s="3" t="s">
        <v>17</v>
      </c>
      <c r="T26" s="6" t="s">
        <v>668</v>
      </c>
      <c r="U26" s="6" t="s">
        <v>607</v>
      </c>
      <c r="V26" s="3" t="s">
        <v>17</v>
      </c>
      <c r="AF26" s="6" t="s">
        <v>17</v>
      </c>
      <c r="AG26" s="6" t="s">
        <v>669</v>
      </c>
    </row>
    <row r="27" spans="1:33" ht="57.6" x14ac:dyDescent="0.3">
      <c r="A27" s="3" t="str">
        <f t="shared" si="0"/>
        <v>LIST_IHT_CALC_DTR_001</v>
      </c>
      <c r="B27" s="3" t="s">
        <v>34</v>
      </c>
      <c r="C27" s="3" t="s">
        <v>40</v>
      </c>
      <c r="D27" s="3" t="s">
        <v>851</v>
      </c>
      <c r="E27" s="3" t="s">
        <v>31</v>
      </c>
      <c r="F27" s="3">
        <v>3</v>
      </c>
      <c r="G27" s="3" t="s">
        <v>16</v>
      </c>
      <c r="H27" s="3" t="s">
        <v>17</v>
      </c>
      <c r="I27" s="3" t="s">
        <v>852</v>
      </c>
      <c r="J27" s="3" t="s">
        <v>124</v>
      </c>
      <c r="K27" s="3">
        <v>1</v>
      </c>
      <c r="L27" s="3" t="s">
        <v>853</v>
      </c>
      <c r="M27" s="3" t="str">
        <f>IF(B27="","","LIST"&amp;"_"&amp;IFERROR(VLOOKUP(B27,LOOKUPS!$K$2:$L$10,2,FALSE),"UNK")&amp;"_"&amp;IFERROR(VLOOKUP(C27,LOOKUPS!$N$2:$O$10,2,FALSE),"UNK")&amp;"_"&amp;UPPER(L27))</f>
        <v>LIST_IHT_CALC_DTR</v>
      </c>
      <c r="N27" s="3">
        <f>IF(M27="","",COUNTIF($M$2:M27,M27))</f>
        <v>1</v>
      </c>
      <c r="O27" s="3" t="s">
        <v>842</v>
      </c>
      <c r="P27" s="3">
        <v>4</v>
      </c>
      <c r="Q27" s="3" t="s">
        <v>843</v>
      </c>
      <c r="R27" s="3" t="s">
        <v>854</v>
      </c>
      <c r="S27" s="3" t="s">
        <v>17</v>
      </c>
      <c r="T27" s="3" t="s">
        <v>844</v>
      </c>
      <c r="U27" s="3" t="s">
        <v>845</v>
      </c>
      <c r="V27" s="3" t="s">
        <v>17</v>
      </c>
      <c r="W27" s="3" t="s">
        <v>846</v>
      </c>
      <c r="X27" s="3" t="s">
        <v>847</v>
      </c>
      <c r="Y27" s="3" t="s">
        <v>17</v>
      </c>
      <c r="Z27" s="3" t="s">
        <v>848</v>
      </c>
      <c r="AA27" s="3" t="s">
        <v>849</v>
      </c>
      <c r="AB27" s="3" t="s">
        <v>17</v>
      </c>
      <c r="AC27" s="3"/>
      <c r="AD27" s="3"/>
      <c r="AE27" s="3"/>
      <c r="AF27" s="3" t="s">
        <v>17</v>
      </c>
      <c r="AG27" s="3" t="s">
        <v>850</v>
      </c>
    </row>
    <row r="28" spans="1:33" ht="115.2" x14ac:dyDescent="0.3">
      <c r="A28" s="3" t="str">
        <f t="shared" ref="A28" si="1">IF(M28="","",M28&amp;"_"&amp;TEXT(N28,"000"))</f>
        <v>LIST_IHT_CALC_GIFTRESBEN_001</v>
      </c>
      <c r="B28" s="3" t="s">
        <v>34</v>
      </c>
      <c r="C28" s="3" t="s">
        <v>40</v>
      </c>
      <c r="D28" s="3" t="s">
        <v>855</v>
      </c>
      <c r="E28" s="3" t="s">
        <v>31</v>
      </c>
      <c r="F28" s="3">
        <v>3</v>
      </c>
      <c r="G28" s="3" t="s">
        <v>16</v>
      </c>
      <c r="H28" s="3" t="s">
        <v>17</v>
      </c>
      <c r="I28" s="3" t="s">
        <v>856</v>
      </c>
      <c r="J28" s="3" t="s">
        <v>124</v>
      </c>
      <c r="K28" s="3">
        <v>1</v>
      </c>
      <c r="L28" s="3" t="s">
        <v>857</v>
      </c>
      <c r="M28" s="3" t="str">
        <f>IF(B28="","","LIST"&amp;"_"&amp;IFERROR(VLOOKUP(B28,LOOKUPS!$K$2:$L$10,2,FALSE),"UNK")&amp;"_"&amp;IFERROR(VLOOKUP(C28,LOOKUPS!$N$2:$O$10,2,FALSE),"UNK")&amp;"_"&amp;UPPER(L28))</f>
        <v>LIST_IHT_CALC_GIFTRESBEN</v>
      </c>
      <c r="N28" s="3">
        <f>IF(M28="","",COUNTIF($M$2:M28,M28))</f>
        <v>1</v>
      </c>
      <c r="O28" s="3" t="s">
        <v>859</v>
      </c>
      <c r="P28" s="3">
        <v>4</v>
      </c>
      <c r="Q28" s="3" t="s">
        <v>858</v>
      </c>
      <c r="R28" s="3" t="s">
        <v>860</v>
      </c>
      <c r="S28" s="3" t="s">
        <v>17</v>
      </c>
      <c r="T28" s="3" t="s">
        <v>861</v>
      </c>
      <c r="U28" s="3" t="s">
        <v>862</v>
      </c>
      <c r="V28" s="3" t="s">
        <v>17</v>
      </c>
      <c r="W28" s="3" t="s">
        <v>863</v>
      </c>
      <c r="X28" s="3" t="s">
        <v>864</v>
      </c>
      <c r="Y28" s="3" t="s">
        <v>17</v>
      </c>
      <c r="Z28" s="3" t="s">
        <v>865</v>
      </c>
      <c r="AA28" s="3" t="s">
        <v>866</v>
      </c>
      <c r="AB28" s="3" t="s">
        <v>17</v>
      </c>
      <c r="AC28" s="3"/>
      <c r="AD28" s="3"/>
      <c r="AE28" s="3"/>
      <c r="AF28" s="3" t="s">
        <v>17</v>
      </c>
      <c r="AG28" s="3" t="s">
        <v>867</v>
      </c>
    </row>
    <row r="29" spans="1:33" ht="28.8" x14ac:dyDescent="0.3">
      <c r="A29" s="3" t="str">
        <f t="shared" si="0"/>
        <v>LIST_ITNIC_CALC_LEASES_001</v>
      </c>
      <c r="B29" s="3" t="s">
        <v>21</v>
      </c>
      <c r="C29" s="3" t="s">
        <v>40</v>
      </c>
      <c r="D29" s="3" t="s">
        <v>954</v>
      </c>
      <c r="E29" s="3" t="s">
        <v>31</v>
      </c>
      <c r="F29" s="3">
        <v>3</v>
      </c>
      <c r="G29" s="3" t="s">
        <v>16</v>
      </c>
      <c r="H29" s="3" t="s">
        <v>17</v>
      </c>
      <c r="I29" s="3" t="s">
        <v>963</v>
      </c>
      <c r="J29" s="3" t="s">
        <v>124</v>
      </c>
      <c r="K29" s="3">
        <v>1</v>
      </c>
      <c r="L29" s="3" t="s">
        <v>964</v>
      </c>
      <c r="M29" s="3" t="str">
        <f>IF(B29="","","LIST"&amp;"_"&amp;IFERROR(VLOOKUP(B29,LOOKUPS!$K$2:$L$10,2,FALSE),"UNK")&amp;"_"&amp;IFERROR(VLOOKUP(C29,LOOKUPS!$N$2:$O$10,2,FALSE),"UNK")&amp;"_"&amp;UPPER(L29))</f>
        <v>LIST_ITNIC_CALC_LEASES</v>
      </c>
      <c r="N29" s="3">
        <f>IF(M29="","",COUNTIF($M$2:M29,M29))</f>
        <v>1</v>
      </c>
      <c r="O29" t="s">
        <v>958</v>
      </c>
      <c r="P29">
        <v>3</v>
      </c>
      <c r="Q29" t="s">
        <v>965</v>
      </c>
      <c r="R29" t="s">
        <v>959</v>
      </c>
      <c r="S29" t="s">
        <v>17</v>
      </c>
      <c r="T29" t="s">
        <v>965</v>
      </c>
      <c r="U29" t="s">
        <v>962</v>
      </c>
      <c r="V29" t="s">
        <v>17</v>
      </c>
      <c r="W29" t="s">
        <v>960</v>
      </c>
      <c r="X29" t="s">
        <v>961</v>
      </c>
      <c r="Y29" t="s">
        <v>17</v>
      </c>
      <c r="Z29"/>
      <c r="AA29"/>
      <c r="AB29"/>
      <c r="AC29"/>
      <c r="AD29"/>
      <c r="AE29"/>
      <c r="AF29" t="s">
        <v>17</v>
      </c>
      <c r="AG29" t="s">
        <v>955</v>
      </c>
    </row>
    <row r="30" spans="1:33" ht="28.8" x14ac:dyDescent="0.3">
      <c r="A30" s="3" t="str">
        <f t="shared" si="0"/>
        <v>LIST_ITNIC_CALC_LEASES_002</v>
      </c>
      <c r="B30" s="3" t="s">
        <v>21</v>
      </c>
      <c r="C30" s="3" t="s">
        <v>40</v>
      </c>
      <c r="D30" s="3" t="s">
        <v>954</v>
      </c>
      <c r="E30" s="3" t="s">
        <v>31</v>
      </c>
      <c r="F30" s="3">
        <v>3</v>
      </c>
      <c r="G30" s="3" t="s">
        <v>16</v>
      </c>
      <c r="H30" s="3" t="s">
        <v>17</v>
      </c>
      <c r="I30" s="3" t="s">
        <v>963</v>
      </c>
      <c r="J30" s="3" t="s">
        <v>124</v>
      </c>
      <c r="K30" s="3">
        <v>1</v>
      </c>
      <c r="L30" s="3" t="s">
        <v>964</v>
      </c>
      <c r="M30" s="3" t="str">
        <f>IF(B30="","","LIST"&amp;"_"&amp;IFERROR(VLOOKUP(B30,LOOKUPS!$K$2:$L$10,2,FALSE),"UNK")&amp;"_"&amp;IFERROR(VLOOKUP(C30,LOOKUPS!$N$2:$O$10,2,FALSE),"UNK")&amp;"_"&amp;UPPER(L30))</f>
        <v>LIST_ITNIC_CALC_LEASES</v>
      </c>
      <c r="N30" s="3">
        <f>IF(M30="","",COUNTIF($M$2:M30,M30))</f>
        <v>2</v>
      </c>
      <c r="O30" t="s">
        <v>967</v>
      </c>
      <c r="P30" s="12">
        <v>2</v>
      </c>
      <c r="Q30" s="12" t="s">
        <v>966</v>
      </c>
      <c r="R30" s="13">
        <v>0.02</v>
      </c>
      <c r="S30" s="12" t="s">
        <v>17</v>
      </c>
      <c r="T30" s="12" t="s">
        <v>968</v>
      </c>
      <c r="U30" s="12" t="s">
        <v>969</v>
      </c>
      <c r="V30" s="12" t="s">
        <v>17</v>
      </c>
      <c r="W30" s="12"/>
      <c r="X30" s="12"/>
      <c r="Y30" s="12"/>
      <c r="Z30" s="12"/>
      <c r="AA30" s="12"/>
      <c r="AB30" s="12"/>
      <c r="AC30" s="12"/>
      <c r="AD30" s="12"/>
      <c r="AE30" s="12"/>
      <c r="AF30" s="12" t="s">
        <v>17</v>
      </c>
      <c r="AG30" t="s">
        <v>956</v>
      </c>
    </row>
    <row r="31" spans="1:33" ht="72" x14ac:dyDescent="0.3">
      <c r="A31" s="3" t="str">
        <f t="shared" si="0"/>
        <v>LIST_ITNIC_DEF_BADGES_001</v>
      </c>
      <c r="B31" s="6" t="s">
        <v>21</v>
      </c>
      <c r="C31" s="6" t="s">
        <v>15</v>
      </c>
      <c r="D31" s="6" t="s">
        <v>970</v>
      </c>
      <c r="E31" s="6" t="s">
        <v>31</v>
      </c>
      <c r="F31" s="6">
        <v>3</v>
      </c>
      <c r="G31" s="6" t="s">
        <v>16</v>
      </c>
      <c r="H31" s="6" t="s">
        <v>17</v>
      </c>
      <c r="I31" s="6" t="s">
        <v>1011</v>
      </c>
      <c r="J31" s="6" t="s">
        <v>870</v>
      </c>
      <c r="K31" s="6">
        <v>1</v>
      </c>
      <c r="L31" s="6" t="s">
        <v>972</v>
      </c>
      <c r="M31" s="3" t="str">
        <f>IF(B31="","","LIST"&amp;"_"&amp;IFERROR(VLOOKUP(B31,LOOKUPS!$K$2:$L$10,2,FALSE),"UNK")&amp;"_"&amp;IFERROR(VLOOKUP(C31,LOOKUPS!$N$2:$O$10,2,FALSE),"UNK")&amp;"_"&amp;UPPER(L31))</f>
        <v>LIST_ITNIC_DEF_BADGES</v>
      </c>
      <c r="N31" s="3">
        <f>IF(M31="","",COUNTIF($M$2:M31,M31))</f>
        <v>1</v>
      </c>
      <c r="O31" s="6" t="s">
        <v>1012</v>
      </c>
      <c r="P31" s="6">
        <v>4</v>
      </c>
      <c r="Q31" s="6" t="s">
        <v>1025</v>
      </c>
      <c r="R31" s="6" t="s">
        <v>1013</v>
      </c>
      <c r="S31" s="6" t="s">
        <v>17</v>
      </c>
      <c r="T31" s="6" t="s">
        <v>1023</v>
      </c>
      <c r="U31" s="6" t="s">
        <v>1014</v>
      </c>
      <c r="V31" s="6" t="s">
        <v>17</v>
      </c>
      <c r="W31" s="6" t="s">
        <v>1024</v>
      </c>
      <c r="X31" s="6" t="s">
        <v>1015</v>
      </c>
      <c r="Y31" s="6" t="s">
        <v>17</v>
      </c>
      <c r="Z31" s="6" t="s">
        <v>1026</v>
      </c>
      <c r="AA31" s="6" t="s">
        <v>1016</v>
      </c>
      <c r="AB31" s="6" t="s">
        <v>17</v>
      </c>
      <c r="AF31" s="6" t="s">
        <v>17</v>
      </c>
      <c r="AG31" s="6" t="s">
        <v>1017</v>
      </c>
    </row>
    <row r="32" spans="1:33" ht="57.6" x14ac:dyDescent="0.3">
      <c r="A32" s="3" t="str">
        <f t="shared" si="0"/>
        <v>LIST_ITNIC_DEF_BADGES_002</v>
      </c>
      <c r="B32" s="6" t="s">
        <v>21</v>
      </c>
      <c r="C32" s="6" t="s">
        <v>15</v>
      </c>
      <c r="D32" s="6" t="s">
        <v>970</v>
      </c>
      <c r="E32" s="6" t="s">
        <v>31</v>
      </c>
      <c r="F32" s="6">
        <v>3</v>
      </c>
      <c r="G32" s="6" t="s">
        <v>16</v>
      </c>
      <c r="H32" s="6" t="s">
        <v>17</v>
      </c>
      <c r="I32" s="6" t="s">
        <v>1011</v>
      </c>
      <c r="J32" s="6" t="s">
        <v>870</v>
      </c>
      <c r="K32" s="6">
        <v>1</v>
      </c>
      <c r="L32" s="6" t="s">
        <v>972</v>
      </c>
      <c r="M32" s="3" t="str">
        <f>IF(B32="","","LIST"&amp;"_"&amp;IFERROR(VLOOKUP(B32,LOOKUPS!$K$2:$L$10,2,FALSE),"UNK")&amp;"_"&amp;IFERROR(VLOOKUP(C32,LOOKUPS!$N$2:$O$10,2,FALSE),"UNK")&amp;"_"&amp;UPPER(L32))</f>
        <v>LIST_ITNIC_DEF_BADGES</v>
      </c>
      <c r="N32" s="3">
        <f>IF(M32="","",COUNTIF($M$2:M32,M32))</f>
        <v>2</v>
      </c>
      <c r="O32" s="11" t="s">
        <v>1018</v>
      </c>
      <c r="P32" s="6">
        <v>3</v>
      </c>
      <c r="Q32" s="6" t="s">
        <v>1027</v>
      </c>
      <c r="R32" s="6" t="s">
        <v>1019</v>
      </c>
      <c r="S32" s="6" t="s">
        <v>17</v>
      </c>
      <c r="T32" s="6" t="s">
        <v>1028</v>
      </c>
      <c r="U32" s="6" t="s">
        <v>1020</v>
      </c>
      <c r="V32" s="6" t="s">
        <v>17</v>
      </c>
      <c r="W32" s="6" t="s">
        <v>1029</v>
      </c>
      <c r="X32" s="6" t="s">
        <v>1021</v>
      </c>
      <c r="Y32" s="6" t="s">
        <v>17</v>
      </c>
      <c r="AF32" s="6" t="s">
        <v>17</v>
      </c>
      <c r="AG32" s="6" t="s">
        <v>1022</v>
      </c>
    </row>
    <row r="33" spans="1:33" ht="72" x14ac:dyDescent="0.3">
      <c r="A33" s="3" t="str">
        <f t="shared" si="0"/>
        <v>LIST_CGT_REQ_PAYMENT_001</v>
      </c>
      <c r="B33" s="3" t="s">
        <v>28</v>
      </c>
      <c r="C33" s="3" t="s">
        <v>22</v>
      </c>
      <c r="D33" s="3" t="s">
        <v>1066</v>
      </c>
      <c r="E33" s="6" t="s">
        <v>31</v>
      </c>
      <c r="F33" s="6">
        <v>3</v>
      </c>
      <c r="G33" s="6" t="s">
        <v>16</v>
      </c>
      <c r="H33" s="6" t="s">
        <v>17</v>
      </c>
      <c r="I33" s="3" t="s">
        <v>1071</v>
      </c>
      <c r="J33" s="3" t="s">
        <v>1067</v>
      </c>
      <c r="K33" s="6">
        <v>1</v>
      </c>
      <c r="L33" s="3" t="s">
        <v>1077</v>
      </c>
      <c r="M33" s="3" t="str">
        <f>IF(B33="","","LIST"&amp;"_"&amp;IFERROR(VLOOKUP(B33,LOOKUPS!$K$2:$L$10,2,FALSE),"UNK")&amp;"_"&amp;IFERROR(VLOOKUP(C33,LOOKUPS!$N$2:$O$10,2,FALSE),"UNK")&amp;"_"&amp;UPPER(L33))</f>
        <v>LIST_CGT_REQ_PAYMENT</v>
      </c>
      <c r="N33" s="3">
        <f>IF(M33="","",COUNTIF($M$2:M33,M33))</f>
        <v>1</v>
      </c>
      <c r="O33" s="3" t="s">
        <v>1031</v>
      </c>
      <c r="P33" s="3">
        <v>3</v>
      </c>
      <c r="Q33" s="3" t="s">
        <v>1032</v>
      </c>
      <c r="R33" s="3" t="s">
        <v>1033</v>
      </c>
      <c r="S33" s="3" t="s">
        <v>17</v>
      </c>
      <c r="T33" s="3" t="s">
        <v>1034</v>
      </c>
      <c r="U33" s="3">
        <v>60</v>
      </c>
      <c r="V33" s="3" t="s">
        <v>17</v>
      </c>
      <c r="W33" s="3" t="s">
        <v>1035</v>
      </c>
      <c r="X33" s="3" t="s">
        <v>1036</v>
      </c>
      <c r="Y33" s="3" t="s">
        <v>17</v>
      </c>
      <c r="Z33" s="3"/>
      <c r="AA33" s="3"/>
      <c r="AB33" s="3"/>
      <c r="AC33" s="3"/>
      <c r="AD33" s="3"/>
      <c r="AE33" s="3"/>
      <c r="AF33" s="3" t="s">
        <v>17</v>
      </c>
      <c r="AG33" s="3" t="s">
        <v>1037</v>
      </c>
    </row>
    <row r="34" spans="1:33" ht="43.2" x14ac:dyDescent="0.3">
      <c r="A34" s="3" t="str">
        <f t="shared" si="0"/>
        <v>LIST_CGT_REQ_DEATH_001</v>
      </c>
      <c r="B34" s="3" t="s">
        <v>28</v>
      </c>
      <c r="C34" s="3" t="s">
        <v>22</v>
      </c>
      <c r="D34" s="3" t="s">
        <v>1068</v>
      </c>
      <c r="E34" s="6" t="s">
        <v>31</v>
      </c>
      <c r="F34" s="6">
        <v>3</v>
      </c>
      <c r="G34" s="6" t="s">
        <v>16</v>
      </c>
      <c r="H34" s="6" t="s">
        <v>17</v>
      </c>
      <c r="I34" s="3" t="s">
        <v>1072</v>
      </c>
      <c r="J34" s="3" t="s">
        <v>1067</v>
      </c>
      <c r="K34" s="6">
        <v>1</v>
      </c>
      <c r="L34" s="3" t="s">
        <v>1078</v>
      </c>
      <c r="M34" s="3" t="str">
        <f>IF(B34="","","LIST"&amp;"_"&amp;IFERROR(VLOOKUP(B34,LOOKUPS!$K$2:$L$10,2,FALSE),"UNK")&amp;"_"&amp;IFERROR(VLOOKUP(C34,LOOKUPS!$N$2:$O$10,2,FALSE),"UNK")&amp;"_"&amp;UPPER(L34))</f>
        <v>LIST_CGT_REQ_DEATH</v>
      </c>
      <c r="N34" s="3">
        <f>IF(M34="","",COUNTIF($M$2:M34,M34))</f>
        <v>1</v>
      </c>
      <c r="O34" s="3" t="s">
        <v>1038</v>
      </c>
      <c r="P34" s="3">
        <v>3</v>
      </c>
      <c r="Q34" s="3" t="s">
        <v>1039</v>
      </c>
      <c r="R34" s="3">
        <v>3</v>
      </c>
      <c r="S34" s="3" t="s">
        <v>17</v>
      </c>
      <c r="T34" s="3" t="s">
        <v>1040</v>
      </c>
      <c r="U34" s="3" t="s">
        <v>1041</v>
      </c>
      <c r="V34" s="3" t="s">
        <v>17</v>
      </c>
      <c r="W34" s="3" t="s">
        <v>1042</v>
      </c>
      <c r="X34" s="3" t="s">
        <v>1043</v>
      </c>
      <c r="Y34" s="3" t="s">
        <v>17</v>
      </c>
      <c r="Z34" s="3"/>
      <c r="AA34" s="3"/>
      <c r="AB34" s="3"/>
      <c r="AC34" s="3"/>
      <c r="AD34" s="3"/>
      <c r="AE34" s="3"/>
      <c r="AF34" s="3" t="s">
        <v>17</v>
      </c>
      <c r="AG34" s="3" t="s">
        <v>1044</v>
      </c>
    </row>
    <row r="35" spans="1:33" ht="115.2" x14ac:dyDescent="0.3">
      <c r="A35" s="3" t="str">
        <f t="shared" si="0"/>
        <v>LIST_CGT_REQ_SMALLPARTDISPOSAL_001</v>
      </c>
      <c r="B35" s="3" t="s">
        <v>28</v>
      </c>
      <c r="C35" s="3" t="s">
        <v>22</v>
      </c>
      <c r="D35" s="3" t="s">
        <v>1069</v>
      </c>
      <c r="E35" s="6" t="s">
        <v>31</v>
      </c>
      <c r="F35" s="6">
        <v>3</v>
      </c>
      <c r="G35" s="6" t="s">
        <v>16</v>
      </c>
      <c r="H35" s="6" t="s">
        <v>17</v>
      </c>
      <c r="I35" s="3" t="s">
        <v>1070</v>
      </c>
      <c r="J35" s="3" t="s">
        <v>1067</v>
      </c>
      <c r="K35" s="6">
        <v>1</v>
      </c>
      <c r="L35" s="3" t="s">
        <v>1079</v>
      </c>
      <c r="M35" s="3" t="str">
        <f>IF(B35="","","LIST"&amp;"_"&amp;IFERROR(VLOOKUP(B35,LOOKUPS!$K$2:$L$10,2,FALSE),"UNK")&amp;"_"&amp;IFERROR(VLOOKUP(C35,LOOKUPS!$N$2:$O$10,2,FALSE),"UNK")&amp;"_"&amp;UPPER(L35))</f>
        <v>LIST_CGT_REQ_SMALLPARTDISPOSAL</v>
      </c>
      <c r="N35" s="3">
        <f>IF(M35="","",COUNTIF($M$2:M35,M35))</f>
        <v>1</v>
      </c>
      <c r="O35" s="3" t="s">
        <v>1049</v>
      </c>
      <c r="P35" s="3">
        <v>5</v>
      </c>
      <c r="Q35" s="3" t="s">
        <v>1052</v>
      </c>
      <c r="R35" s="3" t="s">
        <v>1045</v>
      </c>
      <c r="S35" s="3" t="s">
        <v>17</v>
      </c>
      <c r="T35" s="3" t="s">
        <v>1046</v>
      </c>
      <c r="U35" s="3" t="s">
        <v>329</v>
      </c>
      <c r="V35" s="3" t="s">
        <v>17</v>
      </c>
      <c r="W35" s="3" t="s">
        <v>1047</v>
      </c>
      <c r="X35" s="14">
        <v>20000</v>
      </c>
      <c r="Y35" s="3" t="s">
        <v>17</v>
      </c>
      <c r="Z35" s="3" t="s">
        <v>1046</v>
      </c>
      <c r="AA35" s="3" t="s">
        <v>329</v>
      </c>
      <c r="AB35" s="3" t="s">
        <v>17</v>
      </c>
      <c r="AC35" s="3" t="s">
        <v>1048</v>
      </c>
      <c r="AD35" s="14">
        <v>20000</v>
      </c>
      <c r="AE35" s="3" t="s">
        <v>17</v>
      </c>
      <c r="AF35" s="3" t="s">
        <v>17</v>
      </c>
      <c r="AG35" s="3" t="s">
        <v>1050</v>
      </c>
    </row>
    <row r="36" spans="1:33" ht="100.8" x14ac:dyDescent="0.3">
      <c r="A36" s="3" t="str">
        <f t="shared" si="0"/>
        <v>LIST_CGT_REQ_SMALLPARTDISPOSAL_002</v>
      </c>
      <c r="B36" s="3" t="s">
        <v>28</v>
      </c>
      <c r="C36" s="3" t="s">
        <v>22</v>
      </c>
      <c r="D36" s="3" t="s">
        <v>1069</v>
      </c>
      <c r="E36" s="6" t="s">
        <v>31</v>
      </c>
      <c r="F36" s="6">
        <v>3</v>
      </c>
      <c r="G36" s="6" t="s">
        <v>16</v>
      </c>
      <c r="H36" s="6" t="s">
        <v>17</v>
      </c>
      <c r="I36" s="3" t="s">
        <v>1070</v>
      </c>
      <c r="J36" s="3" t="s">
        <v>1067</v>
      </c>
      <c r="K36" s="6">
        <v>1</v>
      </c>
      <c r="L36" s="3" t="s">
        <v>1079</v>
      </c>
      <c r="M36" s="3" t="str">
        <f>IF(B36="","","LIST"&amp;"_"&amp;IFERROR(VLOOKUP(B36,LOOKUPS!$K$2:$L$10,2,FALSE),"UNK")&amp;"_"&amp;IFERROR(VLOOKUP(C36,LOOKUPS!$N$2:$O$10,2,FALSE),"UNK")&amp;"_"&amp;UPPER(L36))</f>
        <v>LIST_CGT_REQ_SMALLPARTDISPOSAL</v>
      </c>
      <c r="N36" s="3">
        <f>IF(M36="","",COUNTIF($M$2:M36,M36))</f>
        <v>2</v>
      </c>
      <c r="O36" s="3" t="s">
        <v>1051</v>
      </c>
      <c r="P36" s="3">
        <v>5</v>
      </c>
      <c r="Q36" s="3" t="s">
        <v>1046</v>
      </c>
      <c r="R36" s="3" t="s">
        <v>329</v>
      </c>
      <c r="S36" s="3" t="s">
        <v>17</v>
      </c>
      <c r="T36" s="3" t="s">
        <v>1053</v>
      </c>
      <c r="U36" s="14">
        <v>3000</v>
      </c>
      <c r="V36" s="3" t="s">
        <v>17</v>
      </c>
      <c r="W36" s="3" t="s">
        <v>1054</v>
      </c>
      <c r="X36" s="9">
        <v>0.05</v>
      </c>
      <c r="Y36" s="3" t="s">
        <v>17</v>
      </c>
      <c r="Z36" s="3" t="s">
        <v>1055</v>
      </c>
      <c r="AA36" s="3" t="s">
        <v>1056</v>
      </c>
      <c r="AB36" s="3" t="s">
        <v>17</v>
      </c>
      <c r="AC36" s="3" t="s">
        <v>1057</v>
      </c>
      <c r="AD36" s="14" t="s">
        <v>1058</v>
      </c>
      <c r="AE36" s="3" t="s">
        <v>17</v>
      </c>
      <c r="AF36" s="3" t="s">
        <v>17</v>
      </c>
      <c r="AG36" s="3"/>
    </row>
    <row r="37" spans="1:33" ht="129.6" x14ac:dyDescent="0.3">
      <c r="A37" s="3" t="str">
        <f t="shared" si="0"/>
        <v>LIST_CGT_REQ_SMALLPARTDISPOSAL_003</v>
      </c>
      <c r="B37" s="3" t="s">
        <v>28</v>
      </c>
      <c r="C37" s="3" t="s">
        <v>22</v>
      </c>
      <c r="D37" s="3" t="s">
        <v>1069</v>
      </c>
      <c r="E37" s="6" t="s">
        <v>31</v>
      </c>
      <c r="F37" s="6">
        <v>3</v>
      </c>
      <c r="G37" s="6" t="s">
        <v>16</v>
      </c>
      <c r="H37" s="6" t="s">
        <v>17</v>
      </c>
      <c r="I37" s="3" t="s">
        <v>1070</v>
      </c>
      <c r="J37" s="3" t="s">
        <v>1067</v>
      </c>
      <c r="K37" s="6">
        <v>1</v>
      </c>
      <c r="L37" s="3" t="s">
        <v>1079</v>
      </c>
      <c r="M37" s="3" t="str">
        <f>IF(B37="","","LIST"&amp;"_"&amp;IFERROR(VLOOKUP(B37,LOOKUPS!$K$2:$L$10,2,FALSE),"UNK")&amp;"_"&amp;IFERROR(VLOOKUP(C37,LOOKUPS!$N$2:$O$10,2,FALSE),"UNK")&amp;"_"&amp;UPPER(L37))</f>
        <v>LIST_CGT_REQ_SMALLPARTDISPOSAL</v>
      </c>
      <c r="N37" s="3">
        <f>IF(M37="","",COUNTIF($M$2:M37,M37))</f>
        <v>3</v>
      </c>
      <c r="O37" s="3" t="s">
        <v>1059</v>
      </c>
      <c r="P37" s="3">
        <v>4</v>
      </c>
      <c r="Q37" s="3" t="s">
        <v>1060</v>
      </c>
      <c r="R37" s="3" t="s">
        <v>1061</v>
      </c>
      <c r="S37" s="3" t="s">
        <v>17</v>
      </c>
      <c r="T37" s="3" t="s">
        <v>1046</v>
      </c>
      <c r="U37" s="3" t="s">
        <v>329</v>
      </c>
      <c r="V37" s="3" t="s">
        <v>17</v>
      </c>
      <c r="W37" s="3" t="s">
        <v>1053</v>
      </c>
      <c r="X37" s="14">
        <v>3000</v>
      </c>
      <c r="Y37" s="3" t="s">
        <v>17</v>
      </c>
      <c r="Z37" s="3" t="s">
        <v>1054</v>
      </c>
      <c r="AA37" s="9">
        <v>0.05</v>
      </c>
      <c r="AB37" s="3" t="s">
        <v>17</v>
      </c>
      <c r="AC37" s="3" t="s">
        <v>1048</v>
      </c>
      <c r="AD37" s="14">
        <v>20000</v>
      </c>
      <c r="AE37" s="3" t="s">
        <v>17</v>
      </c>
      <c r="AF37" s="3" t="s">
        <v>17</v>
      </c>
      <c r="AG37" s="3"/>
    </row>
    <row r="38" spans="1:33" ht="57.6" x14ac:dyDescent="0.3">
      <c r="A38" s="3" t="str">
        <f t="shared" si="0"/>
        <v>LIST_CGT_REQ_SMALLPARTDISPOSAL_004</v>
      </c>
      <c r="B38" s="3" t="s">
        <v>28</v>
      </c>
      <c r="C38" s="3" t="s">
        <v>22</v>
      </c>
      <c r="D38" s="3" t="s">
        <v>1069</v>
      </c>
      <c r="E38" s="6" t="s">
        <v>31</v>
      </c>
      <c r="F38" s="6">
        <v>3</v>
      </c>
      <c r="G38" s="6" t="s">
        <v>16</v>
      </c>
      <c r="H38" s="6" t="s">
        <v>17</v>
      </c>
      <c r="I38" s="3" t="s">
        <v>1070</v>
      </c>
      <c r="J38" s="3" t="s">
        <v>1067</v>
      </c>
      <c r="K38" s="6">
        <v>1</v>
      </c>
      <c r="L38" s="3" t="s">
        <v>1079</v>
      </c>
      <c r="M38" s="3" t="str">
        <f>IF(B38="","","LIST"&amp;"_"&amp;IFERROR(VLOOKUP(B38,LOOKUPS!$K$2:$L$10,2,FALSE),"UNK")&amp;"_"&amp;IFERROR(VLOOKUP(C38,LOOKUPS!$N$2:$O$10,2,FALSE),"UNK")&amp;"_"&amp;UPPER(L38))</f>
        <v>LIST_CGT_REQ_SMALLPARTDISPOSAL</v>
      </c>
      <c r="N38" s="3">
        <f>IF(M38="","",COUNTIF($M$2:M38,M38))</f>
        <v>4</v>
      </c>
      <c r="O38" s="3" t="s">
        <v>1065</v>
      </c>
      <c r="P38" s="3">
        <v>2</v>
      </c>
      <c r="Q38" s="3" t="s">
        <v>1062</v>
      </c>
      <c r="R38" s="3" t="s">
        <v>220</v>
      </c>
      <c r="S38" s="3" t="s">
        <v>17</v>
      </c>
      <c r="T38" s="3" t="s">
        <v>1063</v>
      </c>
      <c r="U38" s="3" t="s">
        <v>1064</v>
      </c>
      <c r="V38" s="3" t="s">
        <v>17</v>
      </c>
      <c r="W38" s="3"/>
      <c r="X38" s="3"/>
      <c r="Y38" s="3"/>
      <c r="Z38" s="3"/>
      <c r="AA38" s="3"/>
      <c r="AB38" s="3"/>
      <c r="AC38" s="3"/>
      <c r="AD38" s="3"/>
      <c r="AE38" s="3"/>
      <c r="AF38" s="3" t="s">
        <v>17</v>
      </c>
      <c r="AG38" s="3"/>
    </row>
    <row r="39" spans="1:33" ht="115.2" x14ac:dyDescent="0.3">
      <c r="A39" s="3" t="str">
        <f t="shared" ref="A39:A42" si="2">IF(M39="","",M39&amp;"_"&amp;TEXT(N39,"000"))</f>
        <v>LIST_CGT_REQ_BADR_001</v>
      </c>
      <c r="B39" s="3" t="s">
        <v>28</v>
      </c>
      <c r="C39" s="3" t="s">
        <v>22</v>
      </c>
      <c r="D39" s="3" t="s">
        <v>1073</v>
      </c>
      <c r="E39" s="6" t="s">
        <v>31</v>
      </c>
      <c r="F39" s="6">
        <v>4</v>
      </c>
      <c r="G39" s="6" t="s">
        <v>16</v>
      </c>
      <c r="H39" s="6" t="s">
        <v>17</v>
      </c>
      <c r="I39" s="3" t="str">
        <f t="shared" ref="I39:I41" si="3">_xlfn.TEXTJOIN("_",TRUE,_xlfn.TEXTSPLIT(D39," "))</f>
        <v>BADR_and_goodwill</v>
      </c>
      <c r="J39" s="3" t="s">
        <v>1067</v>
      </c>
      <c r="K39" s="6">
        <v>2</v>
      </c>
      <c r="L39" s="3" t="s">
        <v>1080</v>
      </c>
      <c r="M39" s="3" t="str">
        <f>IF(B39="","","LIST"&amp;"_"&amp;IFERROR(VLOOKUP(B39,LOOKUPS!$K$2:$L$10,2,FALSE),"UNK")&amp;"_"&amp;IFERROR(VLOOKUP(C39,LOOKUPS!$N$2:$O$10,2,FALSE),"UNK")&amp;"_"&amp;UPPER(L39))</f>
        <v>LIST_CGT_REQ_BADR</v>
      </c>
      <c r="N39" s="3">
        <f>IF(M39="","",COUNTIF($M$2:M39,M39))</f>
        <v>1</v>
      </c>
      <c r="O39" s="3" t="s">
        <v>1199</v>
      </c>
      <c r="P39" s="3">
        <v>3</v>
      </c>
      <c r="Q39" s="3" t="s">
        <v>1081</v>
      </c>
      <c r="R39" s="3" t="s">
        <v>1082</v>
      </c>
      <c r="S39" s="3" t="s">
        <v>17</v>
      </c>
      <c r="T39" s="3" t="s">
        <v>1046</v>
      </c>
      <c r="U39" s="3" t="s">
        <v>329</v>
      </c>
      <c r="V39" s="3" t="s">
        <v>17</v>
      </c>
      <c r="W39" s="3" t="s">
        <v>1046</v>
      </c>
      <c r="X39" s="3" t="s">
        <v>418</v>
      </c>
      <c r="Y39" s="3" t="s">
        <v>17</v>
      </c>
      <c r="Z39" s="3" t="s">
        <v>1083</v>
      </c>
      <c r="AA39" s="3">
        <v>28</v>
      </c>
      <c r="AB39" s="3" t="s">
        <v>17</v>
      </c>
      <c r="AC39" s="3"/>
      <c r="AD39" s="3"/>
      <c r="AE39" s="3"/>
      <c r="AF39" s="3" t="s">
        <v>17</v>
      </c>
      <c r="AG39" s="3"/>
    </row>
    <row r="40" spans="1:33" ht="57.6" x14ac:dyDescent="0.3">
      <c r="A40" s="3" t="str">
        <f t="shared" si="2"/>
        <v>LIST_CGT_REQ_BADR_002</v>
      </c>
      <c r="B40" s="3" t="s">
        <v>28</v>
      </c>
      <c r="C40" s="3" t="s">
        <v>22</v>
      </c>
      <c r="D40" s="3" t="s">
        <v>1074</v>
      </c>
      <c r="E40" s="6" t="s">
        <v>31</v>
      </c>
      <c r="F40" s="6">
        <v>5</v>
      </c>
      <c r="G40" s="6" t="s">
        <v>16</v>
      </c>
      <c r="H40" s="6" t="s">
        <v>17</v>
      </c>
      <c r="I40" s="3" t="str">
        <f t="shared" si="3"/>
        <v>BADR_and_EMI</v>
      </c>
      <c r="J40" s="3" t="s">
        <v>1067</v>
      </c>
      <c r="K40" s="6">
        <v>3</v>
      </c>
      <c r="L40" s="3" t="s">
        <v>1080</v>
      </c>
      <c r="M40" s="3" t="str">
        <f>IF(B40="","","LIST"&amp;"_"&amp;IFERROR(VLOOKUP(B40,LOOKUPS!$K$2:$L$10,2,FALSE),"UNK")&amp;"_"&amp;IFERROR(VLOOKUP(C40,LOOKUPS!$N$2:$O$10,2,FALSE),"UNK")&amp;"_"&amp;UPPER(L40))</f>
        <v>LIST_CGT_REQ_BADR</v>
      </c>
      <c r="N40" s="3">
        <f>IF(M40="","",COUNTIF($M$2:M40,M40))</f>
        <v>2</v>
      </c>
      <c r="O40" s="3" t="s">
        <v>1084</v>
      </c>
      <c r="P40" s="3">
        <v>2</v>
      </c>
      <c r="Q40" s="3" t="s">
        <v>1085</v>
      </c>
      <c r="R40" s="3" t="s">
        <v>1086</v>
      </c>
      <c r="S40" s="3" t="s">
        <v>17</v>
      </c>
      <c r="T40" s="3" t="s">
        <v>1085</v>
      </c>
      <c r="U40" s="3" t="s">
        <v>1087</v>
      </c>
      <c r="V40" s="3" t="s">
        <v>17</v>
      </c>
      <c r="W40" s="3"/>
      <c r="X40" s="3"/>
      <c r="Y40" s="3"/>
      <c r="Z40" s="3"/>
      <c r="AA40" s="3"/>
      <c r="AB40" s="3"/>
      <c r="AC40" s="3"/>
      <c r="AD40" s="3"/>
      <c r="AE40" s="3"/>
      <c r="AF40" s="3" t="s">
        <v>17</v>
      </c>
      <c r="AG40" s="3" t="s">
        <v>1088</v>
      </c>
    </row>
    <row r="41" spans="1:33" ht="100.8" x14ac:dyDescent="0.3">
      <c r="A41" s="3" t="str">
        <f t="shared" si="2"/>
        <v>LIST_CGT_REQ_BADR_003</v>
      </c>
      <c r="B41" s="3" t="s">
        <v>28</v>
      </c>
      <c r="C41" s="3" t="s">
        <v>22</v>
      </c>
      <c r="D41" s="3" t="s">
        <v>1075</v>
      </c>
      <c r="E41" s="6" t="s">
        <v>31</v>
      </c>
      <c r="F41" s="6">
        <v>6</v>
      </c>
      <c r="G41" s="6" t="s">
        <v>16</v>
      </c>
      <c r="H41" s="6" t="s">
        <v>17</v>
      </c>
      <c r="I41" s="3" t="str">
        <f t="shared" si="3"/>
        <v>BADR_associated_disposals</v>
      </c>
      <c r="J41" s="3" t="s">
        <v>1067</v>
      </c>
      <c r="K41" s="6">
        <v>4</v>
      </c>
      <c r="L41" s="3" t="s">
        <v>1080</v>
      </c>
      <c r="M41" s="3" t="str">
        <f>IF(B41="","","LIST"&amp;"_"&amp;IFERROR(VLOOKUP(B41,LOOKUPS!$K$2:$L$10,2,FALSE),"UNK")&amp;"_"&amp;IFERROR(VLOOKUP(C41,LOOKUPS!$N$2:$O$10,2,FALSE),"UNK")&amp;"_"&amp;UPPER(L41))</f>
        <v>LIST_CGT_REQ_BADR</v>
      </c>
      <c r="N41" s="3">
        <f>IF(M41="","",COUNTIF($M$2:M41,M41))</f>
        <v>3</v>
      </c>
      <c r="O41" s="3" t="s">
        <v>1091</v>
      </c>
      <c r="P41" s="3">
        <v>2</v>
      </c>
      <c r="Q41" s="3" t="s">
        <v>1092</v>
      </c>
      <c r="R41" s="9">
        <v>0.8</v>
      </c>
      <c r="S41" s="3" t="s">
        <v>17</v>
      </c>
      <c r="T41" s="3" t="s">
        <v>1092</v>
      </c>
      <c r="U41" s="9">
        <v>0.2</v>
      </c>
      <c r="V41" s="3" t="s">
        <v>17</v>
      </c>
      <c r="W41" s="3"/>
      <c r="X41" s="3"/>
      <c r="Y41" s="3"/>
      <c r="Z41" s="3"/>
      <c r="AA41" s="3"/>
      <c r="AB41" s="3"/>
      <c r="AC41" s="3"/>
      <c r="AD41" s="3"/>
      <c r="AE41" s="3"/>
      <c r="AF41" s="3" t="s">
        <v>17</v>
      </c>
      <c r="AG41" s="3"/>
    </row>
    <row r="42" spans="1:33" ht="72" x14ac:dyDescent="0.3">
      <c r="A42" s="3" t="str">
        <f t="shared" si="2"/>
        <v>LIST_CGT_FILE_BADR_001</v>
      </c>
      <c r="B42" s="3" t="s">
        <v>28</v>
      </c>
      <c r="C42" s="3" t="s">
        <v>44</v>
      </c>
      <c r="D42" s="3" t="s">
        <v>1076</v>
      </c>
      <c r="E42" s="6" t="s">
        <v>31</v>
      </c>
      <c r="F42" s="6">
        <v>7</v>
      </c>
      <c r="G42" s="6" t="s">
        <v>16</v>
      </c>
      <c r="H42" s="6" t="s">
        <v>17</v>
      </c>
      <c r="I42" s="3" t="str">
        <f>_xlfn.TEXTJOIN("_",TRUE,_xlfn.TEXTSPLIT(D42," "))</f>
        <v>BADR_claim</v>
      </c>
      <c r="J42" s="3" t="s">
        <v>1067</v>
      </c>
      <c r="K42" s="6">
        <v>5</v>
      </c>
      <c r="L42" s="3" t="s">
        <v>1080</v>
      </c>
      <c r="M42" s="3" t="str">
        <f>IF(B42="","","LIST"&amp;"_"&amp;IFERROR(VLOOKUP(B42,LOOKUPS!$K$2:$L$10,2,FALSE),"UNK")&amp;"_"&amp;IFERROR(VLOOKUP(C42,LOOKUPS!$N$2:$O$10,2,FALSE),"UNK")&amp;"_"&amp;UPPER(L42))</f>
        <v>LIST_CGT_FILE_BADR</v>
      </c>
      <c r="N42" s="3">
        <f>IF(M42="","",COUNTIF($M$2:M42,M42))</f>
        <v>1</v>
      </c>
      <c r="O42" s="3" t="s">
        <v>1089</v>
      </c>
      <c r="P42" s="3">
        <v>1</v>
      </c>
      <c r="Q42" s="3" t="s">
        <v>1198</v>
      </c>
      <c r="R42" s="3" t="s">
        <v>1090</v>
      </c>
      <c r="S42" s="3" t="s">
        <v>17</v>
      </c>
      <c r="T42" s="3"/>
      <c r="U42" s="3"/>
      <c r="V42" s="3"/>
      <c r="W42" s="3"/>
      <c r="X42" s="3"/>
      <c r="Y42" s="3"/>
      <c r="Z42" s="3"/>
      <c r="AA42" s="3"/>
      <c r="AB42" s="3"/>
      <c r="AC42" s="3"/>
      <c r="AD42" s="3"/>
      <c r="AE42" s="3"/>
      <c r="AF42" s="3" t="s">
        <v>17</v>
      </c>
      <c r="AG42" s="3"/>
    </row>
    <row r="43" spans="1:33" ht="43.2" x14ac:dyDescent="0.3">
      <c r="A43" s="3" t="str">
        <f t="shared" ref="A43:A47" si="4">IF(M43="","",M43&amp;"_"&amp;TEXT(N43,"000"))</f>
        <v>LIST_CGT_REQ_INCORP_001</v>
      </c>
      <c r="B43" s="3" t="s">
        <v>28</v>
      </c>
      <c r="C43" s="3" t="s">
        <v>22</v>
      </c>
      <c r="D43" s="6" t="s">
        <v>1093</v>
      </c>
      <c r="E43" s="6" t="s">
        <v>31</v>
      </c>
      <c r="F43" s="6">
        <v>3</v>
      </c>
      <c r="G43" s="6" t="s">
        <v>16</v>
      </c>
      <c r="H43" s="6" t="s">
        <v>17</v>
      </c>
      <c r="I43" s="6" t="s">
        <v>1094</v>
      </c>
      <c r="J43" s="6" t="s">
        <v>870</v>
      </c>
      <c r="K43" s="6">
        <v>1</v>
      </c>
      <c r="L43" s="6" t="s">
        <v>1095</v>
      </c>
      <c r="M43" s="3" t="str">
        <f>IF(B43="","","LIST"&amp;"_"&amp;IFERROR(VLOOKUP(B43,LOOKUPS!$K$2:$L$10,2,FALSE),"UNK")&amp;"_"&amp;IFERROR(VLOOKUP(C43,LOOKUPS!$N$2:$O$10,2,FALSE),"UNK")&amp;"_"&amp;UPPER(L43))</f>
        <v>LIST_CGT_REQ_INCORP</v>
      </c>
      <c r="N43" s="3">
        <f>IF(M43="","",COUNTIF($M$2:M43,M43))</f>
        <v>1</v>
      </c>
      <c r="O43" s="6" t="s">
        <v>1096</v>
      </c>
      <c r="P43" s="6">
        <v>3</v>
      </c>
      <c r="Q43" s="6" t="s">
        <v>1097</v>
      </c>
      <c r="R43" s="6" t="s">
        <v>1098</v>
      </c>
      <c r="S43" s="6" t="s">
        <v>17</v>
      </c>
      <c r="T43" s="6" t="s">
        <v>1099</v>
      </c>
      <c r="U43" s="6" t="s">
        <v>1100</v>
      </c>
      <c r="V43" s="6" t="s">
        <v>17</v>
      </c>
      <c r="W43" s="6" t="s">
        <v>1101</v>
      </c>
      <c r="X43" s="6" t="s">
        <v>359</v>
      </c>
      <c r="Y43" s="6" t="s">
        <v>17</v>
      </c>
      <c r="AF43" s="6" t="s">
        <v>17</v>
      </c>
      <c r="AG43" s="6" t="s">
        <v>1102</v>
      </c>
    </row>
    <row r="44" spans="1:33" ht="57.6" x14ac:dyDescent="0.3">
      <c r="A44" s="3" t="str">
        <f t="shared" si="4"/>
        <v>LIST_CGT_REQ_INCORP_002</v>
      </c>
      <c r="B44" s="3" t="s">
        <v>28</v>
      </c>
      <c r="C44" s="3" t="s">
        <v>22</v>
      </c>
      <c r="D44" s="6" t="s">
        <v>1093</v>
      </c>
      <c r="E44" s="6" t="s">
        <v>31</v>
      </c>
      <c r="F44" s="6">
        <v>3</v>
      </c>
      <c r="G44" s="6" t="s">
        <v>16</v>
      </c>
      <c r="H44" s="6" t="s">
        <v>17</v>
      </c>
      <c r="I44" s="6" t="s">
        <v>1094</v>
      </c>
      <c r="J44" s="6" t="s">
        <v>870</v>
      </c>
      <c r="K44" s="6">
        <v>1</v>
      </c>
      <c r="L44" s="6" t="s">
        <v>1095</v>
      </c>
      <c r="M44" s="3" t="str">
        <f>IF(B44="","","LIST"&amp;"_"&amp;IFERROR(VLOOKUP(B44,LOOKUPS!$K$2:$L$10,2,FALSE),"UNK")&amp;"_"&amp;IFERROR(VLOOKUP(C44,LOOKUPS!$N$2:$O$10,2,FALSE),"UNK")&amp;"_"&amp;UPPER(L44))</f>
        <v>LIST_CGT_REQ_INCORP</v>
      </c>
      <c r="N44" s="3">
        <f>IF(M44="","",COUNTIF($M$2:M44,M44))</f>
        <v>2</v>
      </c>
      <c r="O44" s="6" t="s">
        <v>1103</v>
      </c>
      <c r="P44" s="6">
        <v>2</v>
      </c>
      <c r="Q44" s="10" t="s">
        <v>1104</v>
      </c>
      <c r="R44" s="10" t="s">
        <v>1105</v>
      </c>
      <c r="S44" s="6" t="s">
        <v>17</v>
      </c>
      <c r="T44" s="6" t="s">
        <v>1106</v>
      </c>
      <c r="U44" s="11" t="s">
        <v>1100</v>
      </c>
      <c r="V44" s="6" t="s">
        <v>17</v>
      </c>
      <c r="X44" s="10"/>
      <c r="AA44" s="11"/>
      <c r="AF44" s="6" t="s">
        <v>17</v>
      </c>
      <c r="AG44" s="6" t="s">
        <v>1107</v>
      </c>
    </row>
    <row r="45" spans="1:33" ht="43.2" x14ac:dyDescent="0.3">
      <c r="A45" s="3" t="str">
        <f t="shared" si="4"/>
        <v>LIST_CGT_REQ_INCORP_003</v>
      </c>
      <c r="B45" s="3" t="s">
        <v>28</v>
      </c>
      <c r="C45" s="3" t="s">
        <v>22</v>
      </c>
      <c r="D45" s="6" t="s">
        <v>1093</v>
      </c>
      <c r="E45" s="6" t="s">
        <v>31</v>
      </c>
      <c r="F45" s="6">
        <v>3</v>
      </c>
      <c r="G45" s="6" t="s">
        <v>16</v>
      </c>
      <c r="H45" s="6" t="s">
        <v>17</v>
      </c>
      <c r="I45" s="6" t="s">
        <v>1108</v>
      </c>
      <c r="J45" s="6" t="s">
        <v>870</v>
      </c>
      <c r="K45" s="6">
        <v>1</v>
      </c>
      <c r="L45" s="6" t="s">
        <v>1095</v>
      </c>
      <c r="M45" s="3" t="str">
        <f>IF(B45="","","LIST"&amp;"_"&amp;IFERROR(VLOOKUP(B45,LOOKUPS!$K$2:$L$10,2,FALSE),"UNK")&amp;"_"&amp;IFERROR(VLOOKUP(C45,LOOKUPS!$N$2:$O$10,2,FALSE),"UNK")&amp;"_"&amp;UPPER(L45))</f>
        <v>LIST_CGT_REQ_INCORP</v>
      </c>
      <c r="N45" s="3">
        <f>IF(M45="","",COUNTIF($M$2:M45,M45))</f>
        <v>3</v>
      </c>
      <c r="O45" s="6" t="s">
        <v>1109</v>
      </c>
      <c r="P45" s="6">
        <v>2</v>
      </c>
      <c r="Q45" s="11" t="s">
        <v>1110</v>
      </c>
      <c r="R45" s="6" t="s">
        <v>1111</v>
      </c>
      <c r="S45" s="6" t="s">
        <v>17</v>
      </c>
      <c r="T45" s="6" t="s">
        <v>1112</v>
      </c>
      <c r="U45" s="6" t="s">
        <v>1113</v>
      </c>
      <c r="V45" s="6" t="s">
        <v>17</v>
      </c>
      <c r="AF45" s="6" t="s">
        <v>17</v>
      </c>
      <c r="AG45" s="6" t="s">
        <v>1114</v>
      </c>
    </row>
    <row r="46" spans="1:33" ht="28.8" x14ac:dyDescent="0.3">
      <c r="A46" s="3" t="str">
        <f t="shared" si="4"/>
        <v>LIST_CGT_REQ_INCORP_004</v>
      </c>
      <c r="B46" s="3" t="s">
        <v>28</v>
      </c>
      <c r="C46" s="3" t="s">
        <v>22</v>
      </c>
      <c r="D46" s="6" t="s">
        <v>1093</v>
      </c>
      <c r="E46" s="6" t="s">
        <v>31</v>
      </c>
      <c r="F46" s="6">
        <v>3</v>
      </c>
      <c r="G46" s="6" t="s">
        <v>16</v>
      </c>
      <c r="H46" s="6" t="s">
        <v>17</v>
      </c>
      <c r="I46" s="6" t="s">
        <v>1115</v>
      </c>
      <c r="J46" s="6" t="s">
        <v>870</v>
      </c>
      <c r="K46" s="6">
        <v>1</v>
      </c>
      <c r="L46" s="6" t="s">
        <v>1095</v>
      </c>
      <c r="M46" s="3" t="str">
        <f>IF(B46="","","LIST"&amp;"_"&amp;IFERROR(VLOOKUP(B46,LOOKUPS!$K$2:$L$10,2,FALSE),"UNK")&amp;"_"&amp;IFERROR(VLOOKUP(C46,LOOKUPS!$N$2:$O$10,2,FALSE),"UNK")&amp;"_"&amp;UPPER(L46))</f>
        <v>LIST_CGT_REQ_INCORP</v>
      </c>
      <c r="N46" s="3">
        <f>IF(M46="","",COUNTIF($M$2:M46,M46))</f>
        <v>4</v>
      </c>
      <c r="O46" s="6" t="s">
        <v>1116</v>
      </c>
      <c r="P46" s="6">
        <v>2</v>
      </c>
      <c r="Q46" s="6" t="s">
        <v>1117</v>
      </c>
      <c r="R46" s="6" t="s">
        <v>1118</v>
      </c>
      <c r="S46" s="6" t="s">
        <v>17</v>
      </c>
      <c r="T46" s="6" t="s">
        <v>1119</v>
      </c>
      <c r="U46" s="6" t="s">
        <v>1120</v>
      </c>
      <c r="V46" s="6" t="s">
        <v>17</v>
      </c>
      <c r="AF46" s="6" t="s">
        <v>17</v>
      </c>
      <c r="AG46" s="6" t="s">
        <v>1121</v>
      </c>
    </row>
    <row r="47" spans="1:33" ht="57.6" x14ac:dyDescent="0.3">
      <c r="A47" s="3" t="str">
        <f t="shared" si="4"/>
        <v>LIST_CGT_REQ_INCORP_005</v>
      </c>
      <c r="B47" s="3" t="s">
        <v>28</v>
      </c>
      <c r="C47" s="3" t="s">
        <v>22</v>
      </c>
      <c r="D47" s="6" t="s">
        <v>1093</v>
      </c>
      <c r="E47" s="6" t="s">
        <v>31</v>
      </c>
      <c r="F47" s="6">
        <v>3</v>
      </c>
      <c r="G47" s="6" t="s">
        <v>16</v>
      </c>
      <c r="H47" s="6" t="s">
        <v>17</v>
      </c>
      <c r="I47" s="6" t="s">
        <v>1115</v>
      </c>
      <c r="J47" s="6" t="s">
        <v>870</v>
      </c>
      <c r="K47" s="6">
        <v>1</v>
      </c>
      <c r="L47" s="6" t="s">
        <v>1095</v>
      </c>
      <c r="M47" s="3" t="str">
        <f>IF(B47="","","LIST"&amp;"_"&amp;IFERROR(VLOOKUP(B47,LOOKUPS!$K$2:$L$10,2,FALSE),"UNK")&amp;"_"&amp;IFERROR(VLOOKUP(C47,LOOKUPS!$N$2:$O$10,2,FALSE),"UNK")&amp;"_"&amp;UPPER(L47))</f>
        <v>LIST_CGT_REQ_INCORP</v>
      </c>
      <c r="N47" s="3">
        <f>IF(M47="","",COUNTIF($M$2:M47,M47))</f>
        <v>5</v>
      </c>
      <c r="O47" s="6" t="s">
        <v>1122</v>
      </c>
      <c r="P47" s="6">
        <v>2</v>
      </c>
      <c r="Q47" s="10" t="s">
        <v>1123</v>
      </c>
      <c r="R47" s="11" t="s">
        <v>1124</v>
      </c>
      <c r="S47" s="10" t="s">
        <v>17</v>
      </c>
      <c r="T47" s="6" t="s">
        <v>1125</v>
      </c>
      <c r="U47" s="6" t="s">
        <v>1126</v>
      </c>
      <c r="V47" s="6" t="s">
        <v>17</v>
      </c>
      <c r="AF47" s="6" t="s">
        <v>17</v>
      </c>
      <c r="AG47" s="6" t="s">
        <v>1127</v>
      </c>
    </row>
    <row r="48" spans="1:33" ht="25.2" customHeight="1" x14ac:dyDescent="0.3">
      <c r="A48" s="3" t="str">
        <f t="shared" ref="A48:A57" si="5">IF(M48="","",M48&amp;"_"&amp;TEXT(N48,"000"))</f>
        <v>LIST_CGT_REQ_EISRR_001</v>
      </c>
      <c r="B48" s="3" t="s">
        <v>28</v>
      </c>
      <c r="C48" s="3" t="s">
        <v>22</v>
      </c>
      <c r="D48" s="6" t="s">
        <v>1197</v>
      </c>
      <c r="E48" s="6" t="s">
        <v>31</v>
      </c>
      <c r="F48" s="6">
        <v>3</v>
      </c>
      <c r="G48" s="6" t="s">
        <v>16</v>
      </c>
      <c r="H48" s="6" t="s">
        <v>17</v>
      </c>
      <c r="I48" s="6" t="s">
        <v>1129</v>
      </c>
      <c r="J48" s="6" t="s">
        <v>870</v>
      </c>
      <c r="K48" s="6">
        <v>1</v>
      </c>
      <c r="L48" s="6" t="s">
        <v>1130</v>
      </c>
      <c r="M48" s="3" t="str">
        <f>IF(B48="","","LIST"&amp;"_"&amp;IFERROR(VLOOKUP(B48,LOOKUPS!$K$2:$L$10,2,FALSE),"UNK")&amp;"_"&amp;IFERROR(VLOOKUP(C48,LOOKUPS!$N$2:$O$10,2,FALSE),"UNK")&amp;"_"&amp;UPPER(L48))</f>
        <v>LIST_CGT_REQ_EISRR</v>
      </c>
      <c r="N48" s="3">
        <f>IF(M48="","",COUNTIF($M$2:M48,M48))</f>
        <v>1</v>
      </c>
      <c r="O48" s="6" t="s">
        <v>1131</v>
      </c>
      <c r="P48" s="6">
        <v>2</v>
      </c>
      <c r="Q48" s="6" t="s">
        <v>147</v>
      </c>
      <c r="R48" s="6">
        <v>1</v>
      </c>
      <c r="S48" s="6" t="s">
        <v>17</v>
      </c>
      <c r="T48" s="6" t="s">
        <v>148</v>
      </c>
      <c r="U48" s="6">
        <v>3</v>
      </c>
      <c r="V48" s="6" t="s">
        <v>17</v>
      </c>
      <c r="AF48" s="6" t="s">
        <v>17</v>
      </c>
      <c r="AG48" s="6" t="s">
        <v>1132</v>
      </c>
    </row>
    <row r="49" spans="1:33" ht="25.2" customHeight="1" x14ac:dyDescent="0.3">
      <c r="A49" s="3" t="str">
        <f t="shared" si="5"/>
        <v>LIST_CGT_REQ_EISRR_002</v>
      </c>
      <c r="B49" s="3" t="s">
        <v>28</v>
      </c>
      <c r="C49" s="3" t="s">
        <v>22</v>
      </c>
      <c r="D49" s="6" t="s">
        <v>1197</v>
      </c>
      <c r="E49" s="6" t="s">
        <v>31</v>
      </c>
      <c r="F49" s="6">
        <v>3</v>
      </c>
      <c r="G49" s="6" t="s">
        <v>16</v>
      </c>
      <c r="H49" s="6" t="s">
        <v>17</v>
      </c>
      <c r="I49" s="6" t="s">
        <v>1133</v>
      </c>
      <c r="J49" s="6" t="s">
        <v>870</v>
      </c>
      <c r="K49" s="6">
        <v>1</v>
      </c>
      <c r="L49" s="6" t="s">
        <v>1130</v>
      </c>
      <c r="M49" s="3" t="str">
        <f>IF(B49="","","LIST"&amp;"_"&amp;IFERROR(VLOOKUP(B49,LOOKUPS!$K$2:$L$10,2,FALSE),"UNK")&amp;"_"&amp;IFERROR(VLOOKUP(C49,LOOKUPS!$N$2:$O$10,2,FALSE),"UNK")&amp;"_"&amp;UPPER(L49))</f>
        <v>LIST_CGT_REQ_EISRR</v>
      </c>
      <c r="N49" s="3">
        <f>IF(M49="","",COUNTIF($M$2:M49,M49))</f>
        <v>2</v>
      </c>
      <c r="O49" s="6" t="s">
        <v>1134</v>
      </c>
      <c r="P49" s="6">
        <v>3</v>
      </c>
      <c r="Q49" s="10" t="s">
        <v>1135</v>
      </c>
      <c r="R49" s="10" t="s">
        <v>1136</v>
      </c>
      <c r="S49" s="6" t="s">
        <v>17</v>
      </c>
      <c r="T49" s="6" t="s">
        <v>1137</v>
      </c>
      <c r="U49" s="11" t="s">
        <v>1138</v>
      </c>
      <c r="V49" s="6" t="s">
        <v>17</v>
      </c>
      <c r="W49" s="6" t="s">
        <v>1139</v>
      </c>
      <c r="X49" s="10" t="s">
        <v>1140</v>
      </c>
      <c r="Y49" s="6" t="s">
        <v>17</v>
      </c>
      <c r="AA49" s="11"/>
      <c r="AF49" s="6" t="s">
        <v>17</v>
      </c>
      <c r="AG49" s="6" t="s">
        <v>1141</v>
      </c>
    </row>
    <row r="50" spans="1:33" ht="25.2" customHeight="1" x14ac:dyDescent="0.3">
      <c r="A50" s="3" t="str">
        <f t="shared" si="5"/>
        <v>LIST_CGT_REQ_EISRR_003</v>
      </c>
      <c r="B50" s="3" t="s">
        <v>28</v>
      </c>
      <c r="C50" s="3" t="s">
        <v>22</v>
      </c>
      <c r="D50" s="6" t="s">
        <v>1197</v>
      </c>
      <c r="E50" s="6" t="s">
        <v>31</v>
      </c>
      <c r="F50" s="6">
        <v>3</v>
      </c>
      <c r="G50" s="6" t="s">
        <v>16</v>
      </c>
      <c r="H50" s="6" t="s">
        <v>17</v>
      </c>
      <c r="I50" s="6" t="s">
        <v>1142</v>
      </c>
      <c r="J50" s="6" t="s">
        <v>870</v>
      </c>
      <c r="K50" s="6">
        <v>1</v>
      </c>
      <c r="L50" s="6" t="s">
        <v>1130</v>
      </c>
      <c r="M50" s="3" t="str">
        <f>IF(B50="","","LIST"&amp;"_"&amp;IFERROR(VLOOKUP(B50,LOOKUPS!$K$2:$L$10,2,FALSE),"UNK")&amp;"_"&amp;IFERROR(VLOOKUP(C50,LOOKUPS!$N$2:$O$10,2,FALSE),"UNK")&amp;"_"&amp;UPPER(L50))</f>
        <v>LIST_CGT_REQ_EISRR</v>
      </c>
      <c r="N50" s="3">
        <f>IF(M50="","",COUNTIF($M$2:M50,M50))</f>
        <v>3</v>
      </c>
      <c r="O50" s="6" t="s">
        <v>1143</v>
      </c>
      <c r="P50" s="6">
        <v>3</v>
      </c>
      <c r="Q50" s="11" t="s">
        <v>1144</v>
      </c>
      <c r="R50" s="6" t="s">
        <v>1124</v>
      </c>
      <c r="S50" s="6" t="s">
        <v>17</v>
      </c>
      <c r="T50" s="6" t="s">
        <v>1145</v>
      </c>
      <c r="U50" s="6" t="s">
        <v>1146</v>
      </c>
      <c r="V50" s="6" t="s">
        <v>17</v>
      </c>
      <c r="W50" s="6" t="s">
        <v>1147</v>
      </c>
      <c r="X50" s="6" t="s">
        <v>1148</v>
      </c>
      <c r="Y50" s="6" t="s">
        <v>17</v>
      </c>
      <c r="AF50" s="6" t="s">
        <v>17</v>
      </c>
      <c r="AG50" s="6" t="s">
        <v>1149</v>
      </c>
    </row>
    <row r="51" spans="1:33" ht="25.2" customHeight="1" x14ac:dyDescent="0.3">
      <c r="A51" s="3" t="str">
        <f t="shared" si="5"/>
        <v>LIST_CGT_REQ_EISRR_004</v>
      </c>
      <c r="B51" s="3" t="s">
        <v>28</v>
      </c>
      <c r="C51" s="3" t="s">
        <v>22</v>
      </c>
      <c r="D51" s="6" t="s">
        <v>1197</v>
      </c>
      <c r="E51" s="6" t="s">
        <v>31</v>
      </c>
      <c r="F51" s="6">
        <v>3</v>
      </c>
      <c r="G51" s="6" t="s">
        <v>16</v>
      </c>
      <c r="H51" s="6" t="s">
        <v>17</v>
      </c>
      <c r="I51" s="6" t="s">
        <v>1151</v>
      </c>
      <c r="J51" s="6" t="s">
        <v>870</v>
      </c>
      <c r="K51" s="6">
        <v>1</v>
      </c>
      <c r="L51" s="6" t="s">
        <v>1130</v>
      </c>
      <c r="M51" s="3" t="str">
        <f>IF(B51="","","LIST"&amp;"_"&amp;IFERROR(VLOOKUP(B51,LOOKUPS!$K$2:$L$10,2,FALSE),"UNK")&amp;"_"&amp;IFERROR(VLOOKUP(C51,LOOKUPS!$N$2:$O$10,2,FALSE),"UNK")&amp;"_"&amp;UPPER(L51))</f>
        <v>LIST_CGT_REQ_EISRR</v>
      </c>
      <c r="N51" s="3">
        <f>IF(M51="","",COUNTIF($M$2:M51,M51))</f>
        <v>4</v>
      </c>
      <c r="O51" s="6" t="s">
        <v>1153</v>
      </c>
      <c r="P51" s="6">
        <v>2</v>
      </c>
      <c r="Q51" s="6" t="s">
        <v>1154</v>
      </c>
      <c r="R51" s="6" t="s">
        <v>1155</v>
      </c>
      <c r="S51" s="6" t="s">
        <v>17</v>
      </c>
      <c r="T51" s="6" t="s">
        <v>1156</v>
      </c>
      <c r="U51" s="6" t="s">
        <v>1157</v>
      </c>
      <c r="V51" s="6" t="s">
        <v>17</v>
      </c>
      <c r="AF51" s="6" t="s">
        <v>17</v>
      </c>
      <c r="AG51" s="6" t="s">
        <v>1158</v>
      </c>
    </row>
    <row r="52" spans="1:33" ht="25.2" customHeight="1" x14ac:dyDescent="0.3">
      <c r="A52" s="3" t="str">
        <f t="shared" si="5"/>
        <v>LIST_CGT_REQ_EISRR_005</v>
      </c>
      <c r="B52" s="3" t="s">
        <v>28</v>
      </c>
      <c r="C52" s="3" t="s">
        <v>22</v>
      </c>
      <c r="D52" s="6" t="s">
        <v>1197</v>
      </c>
      <c r="E52" s="6" t="s">
        <v>31</v>
      </c>
      <c r="F52" s="6">
        <v>3</v>
      </c>
      <c r="G52" s="6" t="s">
        <v>16</v>
      </c>
      <c r="H52" s="6" t="s">
        <v>17</v>
      </c>
      <c r="I52" s="6" t="s">
        <v>1159</v>
      </c>
      <c r="J52" s="6" t="s">
        <v>870</v>
      </c>
      <c r="K52" s="6">
        <v>1</v>
      </c>
      <c r="L52" s="6" t="s">
        <v>1130</v>
      </c>
      <c r="M52" s="3" t="str">
        <f>IF(B52="","","LIST"&amp;"_"&amp;IFERROR(VLOOKUP(B52,LOOKUPS!$K$2:$L$10,2,FALSE),"UNK")&amp;"_"&amp;IFERROR(VLOOKUP(C52,LOOKUPS!$N$2:$O$10,2,FALSE),"UNK")&amp;"_"&amp;UPPER(L52))</f>
        <v>LIST_CGT_REQ_EISRR</v>
      </c>
      <c r="N52" s="3">
        <f>IF(M52="","",COUNTIF($M$2:M52,M52))</f>
        <v>5</v>
      </c>
      <c r="O52" s="6" t="s">
        <v>1160</v>
      </c>
      <c r="P52" s="6">
        <v>2</v>
      </c>
      <c r="Q52" s="10" t="s">
        <v>1161</v>
      </c>
      <c r="R52" s="11" t="s">
        <v>1162</v>
      </c>
      <c r="S52" s="10" t="s">
        <v>17</v>
      </c>
      <c r="T52" s="6" t="s">
        <v>1163</v>
      </c>
      <c r="U52" s="6" t="s">
        <v>1164</v>
      </c>
      <c r="V52" s="6" t="s">
        <v>17</v>
      </c>
      <c r="AF52" s="6" t="s">
        <v>17</v>
      </c>
      <c r="AG52" s="6" t="s">
        <v>1165</v>
      </c>
    </row>
    <row r="53" spans="1:33" ht="25.2" customHeight="1" x14ac:dyDescent="0.3">
      <c r="A53" s="3" t="str">
        <f t="shared" si="5"/>
        <v>LIST_CGT_REQ_EISRR_006</v>
      </c>
      <c r="B53" s="3" t="s">
        <v>28</v>
      </c>
      <c r="C53" s="3" t="s">
        <v>22</v>
      </c>
      <c r="D53" s="6" t="s">
        <v>1197</v>
      </c>
      <c r="E53" s="6" t="s">
        <v>31</v>
      </c>
      <c r="F53" s="6">
        <v>3</v>
      </c>
      <c r="G53" s="6" t="s">
        <v>16</v>
      </c>
      <c r="H53" s="6" t="s">
        <v>17</v>
      </c>
      <c r="I53" s="6" t="s">
        <v>1167</v>
      </c>
      <c r="J53" s="6" t="s">
        <v>870</v>
      </c>
      <c r="K53" s="6">
        <v>1</v>
      </c>
      <c r="L53" s="6" t="s">
        <v>1130</v>
      </c>
      <c r="M53" s="3" t="str">
        <f>IF(B53="","","LIST"&amp;"_"&amp;IFERROR(VLOOKUP(B53,LOOKUPS!$K$2:$L$10,2,FALSE),"UNK")&amp;"_"&amp;IFERROR(VLOOKUP(C53,LOOKUPS!$N$2:$O$10,2,FALSE),"UNK")&amp;"_"&amp;UPPER(L53))</f>
        <v>LIST_CGT_REQ_EISRR</v>
      </c>
      <c r="N53" s="3">
        <f>IF(M53="","",COUNTIF($M$2:M53,M53))</f>
        <v>6</v>
      </c>
      <c r="O53" s="6" t="s">
        <v>1169</v>
      </c>
      <c r="P53" s="6">
        <v>1</v>
      </c>
      <c r="Q53" s="6" t="s">
        <v>1170</v>
      </c>
      <c r="R53" s="6" t="s">
        <v>348</v>
      </c>
      <c r="S53" s="6" t="s">
        <v>17</v>
      </c>
      <c r="AF53" s="6" t="s">
        <v>17</v>
      </c>
      <c r="AG53" s="6" t="s">
        <v>1171</v>
      </c>
    </row>
    <row r="54" spans="1:33" ht="25.2" customHeight="1" x14ac:dyDescent="0.3">
      <c r="A54" s="3" t="str">
        <f t="shared" si="5"/>
        <v>LIST_CGT_REQ_EISRR_007</v>
      </c>
      <c r="B54" s="3" t="s">
        <v>28</v>
      </c>
      <c r="C54" s="3" t="s">
        <v>22</v>
      </c>
      <c r="D54" s="6" t="s">
        <v>1197</v>
      </c>
      <c r="E54" s="6" t="s">
        <v>31</v>
      </c>
      <c r="F54" s="6">
        <v>3</v>
      </c>
      <c r="G54" s="6" t="s">
        <v>16</v>
      </c>
      <c r="H54" s="6" t="s">
        <v>17</v>
      </c>
      <c r="I54" s="6" t="s">
        <v>1172</v>
      </c>
      <c r="J54" s="6" t="s">
        <v>870</v>
      </c>
      <c r="K54" s="6">
        <v>1</v>
      </c>
      <c r="L54" s="6" t="s">
        <v>1130</v>
      </c>
      <c r="M54" s="3" t="str">
        <f>IF(B54="","","LIST"&amp;"_"&amp;IFERROR(VLOOKUP(B54,LOOKUPS!$K$2:$L$10,2,FALSE),"UNK")&amp;"_"&amp;IFERROR(VLOOKUP(C54,LOOKUPS!$N$2:$O$10,2,FALSE),"UNK")&amp;"_"&amp;UPPER(L54))</f>
        <v>LIST_CGT_REQ_EISRR</v>
      </c>
      <c r="N54" s="3">
        <f>IF(M54="","",COUNTIF($M$2:M54,M54))</f>
        <v>7</v>
      </c>
      <c r="O54" s="6" t="s">
        <v>1173</v>
      </c>
      <c r="P54" s="6">
        <v>3</v>
      </c>
      <c r="Q54" s="6" t="s">
        <v>1174</v>
      </c>
      <c r="R54" s="11">
        <v>0.5</v>
      </c>
      <c r="S54" s="6" t="s">
        <v>17</v>
      </c>
      <c r="T54" s="6" t="s">
        <v>1175</v>
      </c>
      <c r="U54" s="6" t="s">
        <v>1138</v>
      </c>
      <c r="V54" s="6" t="s">
        <v>17</v>
      </c>
      <c r="W54" s="6" t="s">
        <v>1176</v>
      </c>
      <c r="X54" s="6" t="s">
        <v>1177</v>
      </c>
      <c r="Y54" s="6" t="s">
        <v>17</v>
      </c>
      <c r="AF54" s="6" t="s">
        <v>17</v>
      </c>
      <c r="AG54" s="6" t="s">
        <v>1178</v>
      </c>
    </row>
    <row r="55" spans="1:33" ht="25.2" customHeight="1" x14ac:dyDescent="0.3">
      <c r="A55" s="3" t="str">
        <f t="shared" si="5"/>
        <v>LIST_CGT_REQ_EISRR_008</v>
      </c>
      <c r="B55" s="3" t="s">
        <v>28</v>
      </c>
      <c r="C55" s="3" t="s">
        <v>22</v>
      </c>
      <c r="D55" s="6" t="s">
        <v>1197</v>
      </c>
      <c r="E55" s="6" t="s">
        <v>31</v>
      </c>
      <c r="F55" s="6">
        <v>3</v>
      </c>
      <c r="G55" s="6" t="s">
        <v>16</v>
      </c>
      <c r="H55" s="6" t="s">
        <v>17</v>
      </c>
      <c r="I55" s="6" t="s">
        <v>1179</v>
      </c>
      <c r="J55" s="6" t="s">
        <v>870</v>
      </c>
      <c r="K55" s="6">
        <v>1</v>
      </c>
      <c r="L55" s="6" t="s">
        <v>1130</v>
      </c>
      <c r="M55" s="3" t="str">
        <f>IF(B55="","","LIST"&amp;"_"&amp;IFERROR(VLOOKUP(B55,LOOKUPS!$K$2:$L$10,2,FALSE),"UNK")&amp;"_"&amp;IFERROR(VLOOKUP(C55,LOOKUPS!$N$2:$O$10,2,FALSE),"UNK")&amp;"_"&amp;UPPER(L55))</f>
        <v>LIST_CGT_REQ_EISRR</v>
      </c>
      <c r="N55" s="3">
        <f>IF(M55="","",COUNTIF($M$2:M55,M55))</f>
        <v>8</v>
      </c>
      <c r="O55" s="6" t="s">
        <v>1180</v>
      </c>
      <c r="P55" s="6">
        <v>2</v>
      </c>
      <c r="Q55" s="11" t="s">
        <v>1181</v>
      </c>
      <c r="R55" s="6" t="s">
        <v>1182</v>
      </c>
      <c r="S55" s="6" t="s">
        <v>17</v>
      </c>
      <c r="T55" s="6" t="s">
        <v>1183</v>
      </c>
      <c r="U55" s="6" t="s">
        <v>1184</v>
      </c>
      <c r="V55" s="6" t="s">
        <v>17</v>
      </c>
      <c r="AF55" s="6" t="s">
        <v>17</v>
      </c>
      <c r="AG55" s="6" t="s">
        <v>1185</v>
      </c>
    </row>
    <row r="56" spans="1:33" ht="25.2" customHeight="1" x14ac:dyDescent="0.3">
      <c r="A56" s="3" t="str">
        <f t="shared" si="5"/>
        <v>LIST_CGT_REQ_EISRR_009</v>
      </c>
      <c r="B56" s="3" t="s">
        <v>28</v>
      </c>
      <c r="C56" s="3" t="s">
        <v>22</v>
      </c>
      <c r="D56" s="6" t="s">
        <v>1197</v>
      </c>
      <c r="E56" s="6" t="s">
        <v>31</v>
      </c>
      <c r="F56" s="6">
        <v>3</v>
      </c>
      <c r="G56" s="6" t="s">
        <v>16</v>
      </c>
      <c r="H56" s="6" t="s">
        <v>17</v>
      </c>
      <c r="I56" s="6" t="s">
        <v>1186</v>
      </c>
      <c r="J56" s="6" t="s">
        <v>870</v>
      </c>
      <c r="K56" s="6">
        <v>1</v>
      </c>
      <c r="L56" s="6" t="s">
        <v>1130</v>
      </c>
      <c r="M56" s="3" t="str">
        <f>IF(B56="","","LIST"&amp;"_"&amp;IFERROR(VLOOKUP(B56,LOOKUPS!$K$2:$L$10,2,FALSE),"UNK")&amp;"_"&amp;IFERROR(VLOOKUP(C56,LOOKUPS!$N$2:$O$10,2,FALSE),"UNK")&amp;"_"&amp;UPPER(L56))</f>
        <v>LIST_CGT_REQ_EISRR</v>
      </c>
      <c r="N56" s="3">
        <f>IF(M56="","",COUNTIF($M$2:M56,M56))</f>
        <v>9</v>
      </c>
      <c r="O56" s="6" t="s">
        <v>1187</v>
      </c>
      <c r="P56" s="6">
        <v>2</v>
      </c>
      <c r="Q56" s="11" t="s">
        <v>1188</v>
      </c>
      <c r="R56" s="6" t="s">
        <v>1155</v>
      </c>
      <c r="S56" s="6" t="s">
        <v>17</v>
      </c>
      <c r="T56" s="11" t="s">
        <v>1189</v>
      </c>
      <c r="U56" s="6" t="s">
        <v>1157</v>
      </c>
      <c r="V56" s="6" t="s">
        <v>17</v>
      </c>
      <c r="AF56" s="6" t="s">
        <v>17</v>
      </c>
      <c r="AG56" s="6" t="s">
        <v>1190</v>
      </c>
    </row>
    <row r="57" spans="1:33" ht="25.2" customHeight="1" x14ac:dyDescent="0.3">
      <c r="A57" s="3" t="str">
        <f t="shared" si="5"/>
        <v>LIST_CGT_REQ_EISRR_010</v>
      </c>
      <c r="B57" s="3" t="s">
        <v>28</v>
      </c>
      <c r="C57" s="3" t="s">
        <v>22</v>
      </c>
      <c r="D57" s="6" t="s">
        <v>1197</v>
      </c>
      <c r="E57" s="6" t="s">
        <v>31</v>
      </c>
      <c r="F57" s="6">
        <v>3</v>
      </c>
      <c r="G57" s="6" t="s">
        <v>16</v>
      </c>
      <c r="H57" s="6" t="s">
        <v>17</v>
      </c>
      <c r="I57" s="6" t="s">
        <v>1191</v>
      </c>
      <c r="J57" s="6" t="s">
        <v>870</v>
      </c>
      <c r="K57" s="6">
        <v>1</v>
      </c>
      <c r="L57" s="6" t="s">
        <v>1130</v>
      </c>
      <c r="M57" s="3" t="str">
        <f>IF(B57="","","LIST"&amp;"_"&amp;IFERROR(VLOOKUP(B57,LOOKUPS!$K$2:$L$10,2,FALSE),"UNK")&amp;"_"&amp;IFERROR(VLOOKUP(C57,LOOKUPS!$N$2:$O$10,2,FALSE),"UNK")&amp;"_"&amp;UPPER(L57))</f>
        <v>LIST_CGT_REQ_EISRR</v>
      </c>
      <c r="N57" s="3">
        <f>IF(M57="","",COUNTIF($M$2:M57,M57))</f>
        <v>10</v>
      </c>
      <c r="O57" s="6" t="s">
        <v>1192</v>
      </c>
      <c r="P57" s="6">
        <v>2</v>
      </c>
      <c r="Q57" s="6" t="s">
        <v>1193</v>
      </c>
      <c r="R57" s="6">
        <v>3</v>
      </c>
      <c r="S57" s="6" t="s">
        <v>17</v>
      </c>
      <c r="T57" s="6" t="s">
        <v>1194</v>
      </c>
      <c r="U57" s="6" t="s">
        <v>1195</v>
      </c>
      <c r="V57" s="6" t="s">
        <v>17</v>
      </c>
      <c r="AF57" s="6" t="s">
        <v>17</v>
      </c>
      <c r="AG57" s="6" t="s">
        <v>1196</v>
      </c>
    </row>
    <row r="58" spans="1:33" x14ac:dyDescent="0.3">
      <c r="A58" s="3" t="str">
        <f t="shared" si="0"/>
        <v/>
      </c>
      <c r="B58" s="3"/>
      <c r="C58" s="3"/>
      <c r="D58" s="3"/>
      <c r="E58" s="3"/>
      <c r="F58" s="3"/>
      <c r="G58" s="3"/>
      <c r="H58" s="3"/>
      <c r="I58" s="3" t="str">
        <f t="shared" ref="I44:I107" si="6">IFERROR(_xlfn.TEXTJOIN("_",TRUE,_xlfn.TEXTSPLIT(D58," ",,TRUE)),"")</f>
        <v/>
      </c>
      <c r="J58" s="3"/>
      <c r="K58" s="3"/>
      <c r="L58" s="3"/>
      <c r="M58" s="3" t="str">
        <f>IF(B58="","","LIST"&amp;"_"&amp;IFERROR(VLOOKUP(B58,LOOKUPS!$K$2:$L$10,2,FALSE),"UNK")&amp;"_"&amp;IFERROR(VLOOKUP(C58,LOOKUPS!$N$2:$O$10,2,FALSE),"UNK")&amp;"_"&amp;UPPER(L58))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0"/>
        <v/>
      </c>
      <c r="B59" s="3"/>
      <c r="C59" s="3"/>
      <c r="D59" s="3"/>
      <c r="E59" s="3"/>
      <c r="F59" s="3"/>
      <c r="G59" s="3"/>
      <c r="H59" s="3"/>
      <c r="I59" s="3" t="str">
        <f t="shared" si="6"/>
        <v/>
      </c>
      <c r="J59" s="3"/>
      <c r="K59" s="3"/>
      <c r="L59" s="3"/>
      <c r="M59" s="3" t="str">
        <f>IF(B59="","","LIST"&amp;"_"&amp;IFERROR(VLOOKUP(B59,LOOKUPS!$K$2:$L$10,2,FALSE),"UNK")&amp;"_"&amp;IFERROR(VLOOKUP(C59,LOOKUPS!$N$2:$O$10,2,FALSE),"UNK")&amp;"_"&amp;UPPER(L59))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0"/>
        <v/>
      </c>
      <c r="B60" s="3"/>
      <c r="C60" s="3"/>
      <c r="D60" s="3"/>
      <c r="E60" s="3"/>
      <c r="F60" s="3"/>
      <c r="G60" s="3"/>
      <c r="H60" s="3"/>
      <c r="I60" s="3" t="str">
        <f t="shared" si="6"/>
        <v/>
      </c>
      <c r="J60" s="3"/>
      <c r="K60" s="3"/>
      <c r="L60" s="3"/>
      <c r="M60" s="3" t="str">
        <f>IF(B60="","","LIST"&amp;"_"&amp;IFERROR(VLOOKUP(B60,LOOKUPS!$K$2:$L$10,2,FALSE),"UNK")&amp;"_"&amp;IFERROR(VLOOKUP(C60,LOOKUPS!$N$2:$O$10,2,FALSE),"UNK")&amp;"_"&amp;UPPER(L60))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0"/>
        <v/>
      </c>
      <c r="B61" s="3"/>
      <c r="C61" s="3"/>
      <c r="D61" s="3"/>
      <c r="E61" s="3"/>
      <c r="F61" s="3"/>
      <c r="G61" s="3"/>
      <c r="H61" s="3"/>
      <c r="I61" s="3" t="str">
        <f t="shared" si="6"/>
        <v/>
      </c>
      <c r="J61" s="3"/>
      <c r="K61" s="3"/>
      <c r="L61" s="3"/>
      <c r="M61" s="3" t="str">
        <f>IF(B61="","","LIST"&amp;"_"&amp;IFERROR(VLOOKUP(B61,LOOKUPS!$K$2:$L$10,2,FALSE),"UNK")&amp;"_"&amp;IFERROR(VLOOKUP(C61,LOOKUPS!$N$2:$O$10,2,FALSE),"UNK")&amp;"_"&amp;UPPER(L61))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0"/>
        <v/>
      </c>
      <c r="B62" s="3"/>
      <c r="C62" s="3"/>
      <c r="D62" s="3"/>
      <c r="E62" s="3"/>
      <c r="F62" s="3"/>
      <c r="G62" s="3"/>
      <c r="H62" s="3"/>
      <c r="I62" s="3" t="str">
        <f t="shared" si="6"/>
        <v/>
      </c>
      <c r="J62" s="3"/>
      <c r="K62" s="3"/>
      <c r="L62" s="3"/>
      <c r="M62" s="3" t="str">
        <f>IF(B62="","","LIST"&amp;"_"&amp;IFERROR(VLOOKUP(B62,LOOKUPS!$K$2:$L$10,2,FALSE),"UNK")&amp;"_"&amp;IFERROR(VLOOKUP(C62,LOOKUPS!$N$2:$O$10,2,FALSE),"UNK")&amp;"_"&amp;UPPER(L62))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0"/>
        <v/>
      </c>
      <c r="B63" s="3"/>
      <c r="C63" s="3"/>
      <c r="D63" s="3"/>
      <c r="E63" s="3"/>
      <c r="F63" s="3"/>
      <c r="G63" s="3"/>
      <c r="H63" s="3"/>
      <c r="I63" s="3" t="str">
        <f t="shared" si="6"/>
        <v/>
      </c>
      <c r="J63" s="3"/>
      <c r="K63" s="3"/>
      <c r="L63" s="3"/>
      <c r="M63" s="3" t="str">
        <f>IF(B63="","","LIST"&amp;"_"&amp;IFERROR(VLOOKUP(B63,LOOKUPS!$K$2:$L$10,2,FALSE),"UNK")&amp;"_"&amp;IFERROR(VLOOKUP(C63,LOOKUPS!$N$2:$O$10,2,FALSE),"UNK")&amp;"_"&amp;UPPER(L63))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0"/>
        <v/>
      </c>
      <c r="B64" s="3"/>
      <c r="C64" s="3"/>
      <c r="D64" s="3"/>
      <c r="E64" s="3"/>
      <c r="F64" s="3"/>
      <c r="G64" s="3"/>
      <c r="H64" s="3"/>
      <c r="I64" s="3" t="str">
        <f t="shared" si="6"/>
        <v/>
      </c>
      <c r="J64" s="3"/>
      <c r="K64" s="3"/>
      <c r="L64" s="3"/>
      <c r="M64" s="3" t="str">
        <f>IF(B64="","","LIST"&amp;"_"&amp;IFERROR(VLOOKUP(B64,LOOKUPS!$K$2:$L$10,2,FALSE),"UNK")&amp;"_"&amp;IFERROR(VLOOKUP(C64,LOOKUPS!$N$2:$O$10,2,FALSE),"UNK")&amp;"_"&amp;UPPER(L64))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0"/>
        <v/>
      </c>
      <c r="B65" s="3"/>
      <c r="C65" s="3"/>
      <c r="D65" s="3"/>
      <c r="E65" s="3"/>
      <c r="F65" s="3"/>
      <c r="G65" s="3"/>
      <c r="H65" s="3"/>
      <c r="I65" s="3" t="str">
        <f t="shared" si="6"/>
        <v/>
      </c>
      <c r="J65" s="3"/>
      <c r="K65" s="3"/>
      <c r="L65" s="3"/>
      <c r="M65" s="3" t="str">
        <f>IF(B65="","","LIST"&amp;"_"&amp;IFERROR(VLOOKUP(B65,LOOKUPS!$K$2:$L$10,2,FALSE),"UNK")&amp;"_"&amp;IFERROR(VLOOKUP(C65,LOOKUPS!$N$2:$O$10,2,FALSE),"UNK")&amp;"_"&amp;UPPER(L65))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ref="A66:A129" si="7">IF(M66="","",M66&amp;"_"&amp;TEXT(N66,"000"))</f>
        <v/>
      </c>
      <c r="B66" s="3"/>
      <c r="C66" s="3"/>
      <c r="D66" s="3"/>
      <c r="E66" s="3"/>
      <c r="F66" s="3"/>
      <c r="G66" s="3"/>
      <c r="H66" s="3"/>
      <c r="I66" s="3" t="str">
        <f t="shared" si="6"/>
        <v/>
      </c>
      <c r="J66" s="3"/>
      <c r="K66" s="3"/>
      <c r="L66" s="3"/>
      <c r="M66" s="3" t="str">
        <f>IF(B66="","","LIST"&amp;"_"&amp;IFERROR(VLOOKUP(B66,LOOKUPS!$K$2:$L$10,2,FALSE),"UNK")&amp;"_"&amp;IFERROR(VLOOKUP(C66,LOOKUPS!$N$2:$O$10,2,FALSE),"UNK")&amp;"_"&amp;UPPER(L66))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si="7"/>
        <v/>
      </c>
      <c r="B67" s="3"/>
      <c r="C67" s="3"/>
      <c r="D67" s="3"/>
      <c r="E67" s="3"/>
      <c r="F67" s="3"/>
      <c r="G67" s="3"/>
      <c r="H67" s="3"/>
      <c r="I67" s="3" t="str">
        <f t="shared" si="6"/>
        <v/>
      </c>
      <c r="J67" s="3"/>
      <c r="K67" s="3"/>
      <c r="L67" s="3"/>
      <c r="M67" s="3" t="str">
        <f>IF(B67="","","LIST"&amp;"_"&amp;IFERROR(VLOOKUP(B67,LOOKUPS!$K$2:$L$10,2,FALSE),"UNK")&amp;"_"&amp;IFERROR(VLOOKUP(C67,LOOKUPS!$N$2:$O$10,2,FALSE),"UNK")&amp;"_"&amp;UPPER(L67))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7"/>
        <v/>
      </c>
      <c r="B68" s="3"/>
      <c r="C68" s="3"/>
      <c r="D68" s="3"/>
      <c r="E68" s="3"/>
      <c r="F68" s="3"/>
      <c r="G68" s="3"/>
      <c r="H68" s="3"/>
      <c r="I68" s="3" t="str">
        <f t="shared" si="6"/>
        <v/>
      </c>
      <c r="J68" s="3"/>
      <c r="K68" s="3"/>
      <c r="L68" s="3"/>
      <c r="M68" s="3" t="str">
        <f>IF(B68="","","LIST"&amp;"_"&amp;IFERROR(VLOOKUP(B68,LOOKUPS!$K$2:$L$10,2,FALSE),"UNK")&amp;"_"&amp;IFERROR(VLOOKUP(C68,LOOKUPS!$N$2:$O$10,2,FALSE),"UNK")&amp;"_"&amp;UPPER(L68))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7"/>
        <v/>
      </c>
      <c r="B69" s="3"/>
      <c r="C69" s="3"/>
      <c r="D69" s="3"/>
      <c r="E69" s="3"/>
      <c r="F69" s="3"/>
      <c r="G69" s="3"/>
      <c r="H69" s="3"/>
      <c r="I69" s="3" t="str">
        <f t="shared" si="6"/>
        <v/>
      </c>
      <c r="J69" s="3"/>
      <c r="K69" s="3"/>
      <c r="L69" s="3"/>
      <c r="M69" s="3" t="str">
        <f>IF(B69="","","LIST"&amp;"_"&amp;IFERROR(VLOOKUP(B69,LOOKUPS!$K$2:$L$10,2,FALSE),"UNK")&amp;"_"&amp;IFERROR(VLOOKUP(C69,LOOKUPS!$N$2:$O$10,2,FALSE),"UNK")&amp;"_"&amp;UPPER(L69))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7"/>
        <v/>
      </c>
      <c r="B70" s="3"/>
      <c r="C70" s="3"/>
      <c r="D70" s="3"/>
      <c r="E70" s="3"/>
      <c r="F70" s="3"/>
      <c r="G70" s="3"/>
      <c r="H70" s="3"/>
      <c r="I70" s="3" t="str">
        <f t="shared" si="6"/>
        <v/>
      </c>
      <c r="J70" s="3"/>
      <c r="K70" s="3"/>
      <c r="L70" s="3"/>
      <c r="M70" s="3" t="str">
        <f>IF(B70="","","LIST"&amp;"_"&amp;IFERROR(VLOOKUP(B70,LOOKUPS!$K$2:$L$10,2,FALSE),"UNK")&amp;"_"&amp;IFERROR(VLOOKUP(C70,LOOKUPS!$N$2:$O$10,2,FALSE),"UNK")&amp;"_"&amp;UPPER(L70))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7"/>
        <v/>
      </c>
      <c r="B71" s="3"/>
      <c r="C71" s="3"/>
      <c r="D71" s="3"/>
      <c r="E71" s="3"/>
      <c r="F71" s="3"/>
      <c r="G71" s="3"/>
      <c r="H71" s="3"/>
      <c r="I71" s="3" t="str">
        <f t="shared" si="6"/>
        <v/>
      </c>
      <c r="J71" s="3"/>
      <c r="K71" s="3"/>
      <c r="L71" s="3"/>
      <c r="M71" s="3" t="str">
        <f>IF(B71="","","LIST"&amp;"_"&amp;IFERROR(VLOOKUP(B71,LOOKUPS!$K$2:$L$10,2,FALSE),"UNK")&amp;"_"&amp;IFERROR(VLOOKUP(C71,LOOKUPS!$N$2:$O$10,2,FALSE),"UNK")&amp;"_"&amp;UPPER(L71))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7"/>
        <v/>
      </c>
      <c r="B72" s="3"/>
      <c r="C72" s="3"/>
      <c r="D72" s="3"/>
      <c r="E72" s="3"/>
      <c r="F72" s="3"/>
      <c r="G72" s="3"/>
      <c r="H72" s="3"/>
      <c r="I72" s="3" t="str">
        <f t="shared" si="6"/>
        <v/>
      </c>
      <c r="J72" s="3"/>
      <c r="K72" s="3"/>
      <c r="L72" s="3"/>
      <c r="M72" s="3" t="str">
        <f>IF(B72="","","LIST"&amp;"_"&amp;IFERROR(VLOOKUP(B72,LOOKUPS!$K$2:$L$10,2,FALSE),"UNK")&amp;"_"&amp;IFERROR(VLOOKUP(C72,LOOKUPS!$N$2:$O$10,2,FALSE),"UNK")&amp;"_"&amp;UPPER(L72))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7"/>
        <v/>
      </c>
      <c r="B73" s="3"/>
      <c r="C73" s="3"/>
      <c r="D73" s="3"/>
      <c r="E73" s="3"/>
      <c r="F73" s="3"/>
      <c r="G73" s="3"/>
      <c r="H73" s="3"/>
      <c r="I73" s="3" t="str">
        <f t="shared" si="6"/>
        <v/>
      </c>
      <c r="J73" s="3"/>
      <c r="K73" s="3"/>
      <c r="L73" s="3"/>
      <c r="M73" s="3" t="str">
        <f>IF(B73="","","LIST"&amp;"_"&amp;IFERROR(VLOOKUP(B73,LOOKUPS!$K$2:$L$10,2,FALSE),"UNK")&amp;"_"&amp;IFERROR(VLOOKUP(C73,LOOKUPS!$N$2:$O$10,2,FALSE),"UNK")&amp;"_"&amp;UPPER(L73))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7"/>
        <v/>
      </c>
      <c r="B74" s="3"/>
      <c r="C74" s="3"/>
      <c r="D74" s="3"/>
      <c r="E74" s="3"/>
      <c r="F74" s="3"/>
      <c r="G74" s="3"/>
      <c r="H74" s="3"/>
      <c r="I74" s="3" t="str">
        <f t="shared" si="6"/>
        <v/>
      </c>
      <c r="J74" s="3"/>
      <c r="K74" s="3"/>
      <c r="L74" s="3"/>
      <c r="M74" s="3" t="str">
        <f>IF(B74="","","LIST"&amp;"_"&amp;IFERROR(VLOOKUP(B74,LOOKUPS!$K$2:$L$10,2,FALSE),"UNK")&amp;"_"&amp;IFERROR(VLOOKUP(C74,LOOKUPS!$N$2:$O$10,2,FALSE),"UNK")&amp;"_"&amp;UPPER(L74))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7"/>
        <v/>
      </c>
      <c r="B75" s="3"/>
      <c r="C75" s="3"/>
      <c r="D75" s="3"/>
      <c r="E75" s="3"/>
      <c r="F75" s="3"/>
      <c r="G75" s="3"/>
      <c r="H75" s="3"/>
      <c r="I75" s="3" t="str">
        <f t="shared" si="6"/>
        <v/>
      </c>
      <c r="J75" s="3"/>
      <c r="K75" s="3"/>
      <c r="L75" s="3"/>
      <c r="M75" s="3" t="str">
        <f>IF(B75="","","LIST"&amp;"_"&amp;IFERROR(VLOOKUP(B75,LOOKUPS!$K$2:$L$10,2,FALSE),"UNK")&amp;"_"&amp;IFERROR(VLOOKUP(C75,LOOKUPS!$N$2:$O$10,2,FALSE),"UNK")&amp;"_"&amp;UPPER(L75))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7"/>
        <v/>
      </c>
      <c r="B76" s="3"/>
      <c r="C76" s="3"/>
      <c r="D76" s="3"/>
      <c r="E76" s="3"/>
      <c r="F76" s="3"/>
      <c r="G76" s="3"/>
      <c r="H76" s="3"/>
      <c r="I76" s="3" t="str">
        <f t="shared" si="6"/>
        <v/>
      </c>
      <c r="J76" s="3"/>
      <c r="K76" s="3"/>
      <c r="L76" s="3"/>
      <c r="M76" s="3" t="str">
        <f>IF(B76="","","LIST"&amp;"_"&amp;IFERROR(VLOOKUP(B76,LOOKUPS!$K$2:$L$10,2,FALSE),"UNK")&amp;"_"&amp;IFERROR(VLOOKUP(C76,LOOKUPS!$N$2:$O$10,2,FALSE),"UNK")&amp;"_"&amp;UPPER(L76))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7"/>
        <v/>
      </c>
      <c r="B77" s="3"/>
      <c r="C77" s="3"/>
      <c r="D77" s="3"/>
      <c r="E77" s="3"/>
      <c r="F77" s="3"/>
      <c r="G77" s="3"/>
      <c r="H77" s="3"/>
      <c r="I77" s="3" t="str">
        <f t="shared" si="6"/>
        <v/>
      </c>
      <c r="J77" s="3"/>
      <c r="K77" s="3"/>
      <c r="L77" s="3"/>
      <c r="M77" s="3" t="str">
        <f>IF(B77="","","LIST"&amp;"_"&amp;IFERROR(VLOOKUP(B77,LOOKUPS!$K$2:$L$10,2,FALSE),"UNK")&amp;"_"&amp;IFERROR(VLOOKUP(C77,LOOKUPS!$N$2:$O$10,2,FALSE),"UNK")&amp;"_"&amp;UPPER(L77))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7"/>
        <v/>
      </c>
      <c r="B78" s="3"/>
      <c r="C78" s="3"/>
      <c r="D78" s="3"/>
      <c r="E78" s="3"/>
      <c r="F78" s="3"/>
      <c r="G78" s="3"/>
      <c r="H78" s="3"/>
      <c r="I78" s="3" t="str">
        <f t="shared" si="6"/>
        <v/>
      </c>
      <c r="J78" s="3"/>
      <c r="K78" s="3"/>
      <c r="L78" s="3"/>
      <c r="M78" s="3" t="str">
        <f>IF(B78="","","LIST"&amp;"_"&amp;IFERROR(VLOOKUP(B78,LOOKUPS!$K$2:$L$10,2,FALSE),"UNK")&amp;"_"&amp;IFERROR(VLOOKUP(C78,LOOKUPS!$N$2:$O$10,2,FALSE),"UNK")&amp;"_"&amp;UPPER(L78))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7"/>
        <v/>
      </c>
      <c r="B79" s="3"/>
      <c r="C79" s="3"/>
      <c r="D79" s="3"/>
      <c r="E79" s="3"/>
      <c r="F79" s="3"/>
      <c r="G79" s="3"/>
      <c r="H79" s="3"/>
      <c r="I79" s="3" t="str">
        <f t="shared" si="6"/>
        <v/>
      </c>
      <c r="J79" s="3"/>
      <c r="K79" s="3"/>
      <c r="L79" s="3"/>
      <c r="M79" s="3" t="str">
        <f>IF(B79="","","LIST"&amp;"_"&amp;IFERROR(VLOOKUP(B79,LOOKUPS!$K$2:$L$10,2,FALSE),"UNK")&amp;"_"&amp;IFERROR(VLOOKUP(C79,LOOKUPS!$N$2:$O$10,2,FALSE),"UNK")&amp;"_"&amp;UPPER(L79))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7"/>
        <v/>
      </c>
      <c r="B80" s="3"/>
      <c r="C80" s="3"/>
      <c r="D80" s="3"/>
      <c r="E80" s="3"/>
      <c r="F80" s="3"/>
      <c r="G80" s="3"/>
      <c r="H80" s="3"/>
      <c r="I80" s="3" t="str">
        <f t="shared" si="6"/>
        <v/>
      </c>
      <c r="J80" s="3"/>
      <c r="K80" s="3"/>
      <c r="L80" s="3"/>
      <c r="M80" s="3" t="str">
        <f>IF(B80="","","LIST"&amp;"_"&amp;IFERROR(VLOOKUP(B80,LOOKUPS!$K$2:$L$10,2,FALSE),"UNK")&amp;"_"&amp;IFERROR(VLOOKUP(C80,LOOKUPS!$N$2:$O$10,2,FALSE),"UNK")&amp;"_"&amp;UPPER(L80))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7"/>
        <v/>
      </c>
      <c r="B81" s="3"/>
      <c r="C81" s="3"/>
      <c r="D81" s="3"/>
      <c r="E81" s="3"/>
      <c r="F81" s="3"/>
      <c r="G81" s="3"/>
      <c r="H81" s="3"/>
      <c r="I81" s="3" t="str">
        <f t="shared" si="6"/>
        <v/>
      </c>
      <c r="J81" s="3"/>
      <c r="K81" s="3"/>
      <c r="L81" s="3"/>
      <c r="M81" s="3" t="str">
        <f>IF(B81="","","LIST"&amp;"_"&amp;IFERROR(VLOOKUP(B81,LOOKUPS!$K$2:$L$10,2,FALSE),"UNK")&amp;"_"&amp;IFERROR(VLOOKUP(C81,LOOKUPS!$N$2:$O$10,2,FALSE),"UNK")&amp;"_"&amp;UPPER(L81))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7"/>
        <v/>
      </c>
      <c r="B82" s="3"/>
      <c r="C82" s="3"/>
      <c r="D82" s="3"/>
      <c r="E82" s="3"/>
      <c r="F82" s="3"/>
      <c r="G82" s="3"/>
      <c r="H82" s="3"/>
      <c r="I82" s="3" t="str">
        <f t="shared" si="6"/>
        <v/>
      </c>
      <c r="J82" s="3"/>
      <c r="K82" s="3"/>
      <c r="L82" s="3"/>
      <c r="M82" s="3" t="str">
        <f>IF(B82="","","LIST"&amp;"_"&amp;IFERROR(VLOOKUP(B82,LOOKUPS!$K$2:$L$10,2,FALSE),"UNK")&amp;"_"&amp;IFERROR(VLOOKUP(C82,LOOKUPS!$N$2:$O$10,2,FALSE),"UNK")&amp;"_"&amp;UPPER(L82))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7"/>
        <v/>
      </c>
      <c r="B83" s="3"/>
      <c r="C83" s="3"/>
      <c r="D83" s="3"/>
      <c r="E83" s="3"/>
      <c r="F83" s="3"/>
      <c r="G83" s="3"/>
      <c r="H83" s="3"/>
      <c r="I83" s="3" t="str">
        <f t="shared" si="6"/>
        <v/>
      </c>
      <c r="J83" s="3"/>
      <c r="K83" s="3"/>
      <c r="L83" s="3"/>
      <c r="M83" s="3" t="str">
        <f>IF(B83="","","LIST"&amp;"_"&amp;IFERROR(VLOOKUP(B83,LOOKUPS!$K$2:$L$10,2,FALSE),"UNK")&amp;"_"&amp;IFERROR(VLOOKUP(C83,LOOKUPS!$N$2:$O$10,2,FALSE),"UNK")&amp;"_"&amp;UPPER(L83))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7"/>
        <v/>
      </c>
      <c r="B84" s="3"/>
      <c r="C84" s="3"/>
      <c r="D84" s="3"/>
      <c r="E84" s="3"/>
      <c r="F84" s="3"/>
      <c r="G84" s="3"/>
      <c r="H84" s="3"/>
      <c r="I84" s="3" t="str">
        <f t="shared" si="6"/>
        <v/>
      </c>
      <c r="J84" s="3"/>
      <c r="K84" s="3"/>
      <c r="L84" s="3"/>
      <c r="M84" s="3" t="str">
        <f>IF(B84="","","LIST"&amp;"_"&amp;IFERROR(VLOOKUP(B84,LOOKUPS!$K$2:$L$10,2,FALSE),"UNK")&amp;"_"&amp;IFERROR(VLOOKUP(C84,LOOKUPS!$N$2:$O$10,2,FALSE),"UNK")&amp;"_"&amp;UPPER(L84))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7"/>
        <v/>
      </c>
      <c r="B85" s="3"/>
      <c r="C85" s="3"/>
      <c r="D85" s="3"/>
      <c r="E85" s="3"/>
      <c r="F85" s="3"/>
      <c r="G85" s="3"/>
      <c r="H85" s="3"/>
      <c r="I85" s="3" t="str">
        <f t="shared" si="6"/>
        <v/>
      </c>
      <c r="J85" s="3"/>
      <c r="K85" s="3"/>
      <c r="L85" s="3"/>
      <c r="M85" s="3" t="str">
        <f>IF(B85="","","LIST"&amp;"_"&amp;IFERROR(VLOOKUP(B85,LOOKUPS!$K$2:$L$10,2,FALSE),"UNK")&amp;"_"&amp;IFERROR(VLOOKUP(C85,LOOKUPS!$N$2:$O$10,2,FALSE),"UNK")&amp;"_"&amp;UPPER(L85))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7"/>
        <v/>
      </c>
      <c r="B86" s="3"/>
      <c r="C86" s="3"/>
      <c r="D86" s="3"/>
      <c r="E86" s="3"/>
      <c r="F86" s="3"/>
      <c r="G86" s="3"/>
      <c r="H86" s="3"/>
      <c r="I86" s="3" t="str">
        <f t="shared" si="6"/>
        <v/>
      </c>
      <c r="J86" s="3"/>
      <c r="K86" s="3"/>
      <c r="L86" s="3"/>
      <c r="M86" s="3" t="str">
        <f>IF(B86="","","LIST"&amp;"_"&amp;IFERROR(VLOOKUP(B86,LOOKUPS!$K$2:$L$10,2,FALSE),"UNK")&amp;"_"&amp;IFERROR(VLOOKUP(C86,LOOKUPS!$N$2:$O$10,2,FALSE),"UNK")&amp;"_"&amp;UPPER(L86))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7"/>
        <v/>
      </c>
      <c r="B87" s="3"/>
      <c r="C87" s="3"/>
      <c r="D87" s="3"/>
      <c r="E87" s="3"/>
      <c r="F87" s="3"/>
      <c r="G87" s="3"/>
      <c r="H87" s="3"/>
      <c r="I87" s="3" t="str">
        <f t="shared" si="6"/>
        <v/>
      </c>
      <c r="J87" s="3"/>
      <c r="K87" s="3"/>
      <c r="L87" s="3"/>
      <c r="M87" s="3" t="str">
        <f>IF(B87="","","LIST"&amp;"_"&amp;IFERROR(VLOOKUP(B87,LOOKUPS!$K$2:$L$10,2,FALSE),"UNK")&amp;"_"&amp;IFERROR(VLOOKUP(C87,LOOKUPS!$N$2:$O$10,2,FALSE),"UNK")&amp;"_"&amp;UPPER(L87))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7"/>
        <v/>
      </c>
      <c r="B88" s="3"/>
      <c r="C88" s="3"/>
      <c r="D88" s="3"/>
      <c r="E88" s="3"/>
      <c r="F88" s="3"/>
      <c r="G88" s="3"/>
      <c r="H88" s="3"/>
      <c r="I88" s="3" t="str">
        <f t="shared" si="6"/>
        <v/>
      </c>
      <c r="J88" s="3"/>
      <c r="K88" s="3"/>
      <c r="L88" s="3"/>
      <c r="M88" s="3" t="str">
        <f>IF(B88="","","LIST"&amp;"_"&amp;IFERROR(VLOOKUP(B88,LOOKUPS!$K$2:$L$10,2,FALSE),"UNK")&amp;"_"&amp;IFERROR(VLOOKUP(C88,LOOKUPS!$N$2:$O$10,2,FALSE),"UNK")&amp;"_"&amp;UPPER(L88))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7"/>
        <v/>
      </c>
      <c r="B89" s="3"/>
      <c r="C89" s="3"/>
      <c r="D89" s="3"/>
      <c r="E89" s="3"/>
      <c r="F89" s="3"/>
      <c r="G89" s="3"/>
      <c r="H89" s="3"/>
      <c r="I89" s="3" t="str">
        <f t="shared" si="6"/>
        <v/>
      </c>
      <c r="J89" s="3"/>
      <c r="K89" s="3"/>
      <c r="L89" s="3"/>
      <c r="M89" s="3" t="str">
        <f>IF(B89="","","LIST"&amp;"_"&amp;IFERROR(VLOOKUP(B89,LOOKUPS!$K$2:$L$10,2,FALSE),"UNK")&amp;"_"&amp;IFERROR(VLOOKUP(C89,LOOKUPS!$N$2:$O$10,2,FALSE),"UNK")&amp;"_"&amp;UPPER(L89))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7"/>
        <v/>
      </c>
      <c r="B90" s="3"/>
      <c r="C90" s="3"/>
      <c r="D90" s="3"/>
      <c r="E90" s="3"/>
      <c r="F90" s="3"/>
      <c r="G90" s="3"/>
      <c r="H90" s="3"/>
      <c r="I90" s="3" t="str">
        <f t="shared" si="6"/>
        <v/>
      </c>
      <c r="J90" s="3"/>
      <c r="K90" s="3"/>
      <c r="L90" s="3"/>
      <c r="M90" s="3" t="str">
        <f>IF(B90="","","LIST"&amp;"_"&amp;IFERROR(VLOOKUP(B90,LOOKUPS!$K$2:$L$10,2,FALSE),"UNK")&amp;"_"&amp;IFERROR(VLOOKUP(C90,LOOKUPS!$N$2:$O$10,2,FALSE),"UNK")&amp;"_"&amp;UPPER(L90))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7"/>
        <v/>
      </c>
      <c r="B91" s="3"/>
      <c r="C91" s="3"/>
      <c r="D91" s="3"/>
      <c r="E91" s="3"/>
      <c r="F91" s="3"/>
      <c r="G91" s="3"/>
      <c r="H91" s="3"/>
      <c r="I91" s="3" t="str">
        <f t="shared" si="6"/>
        <v/>
      </c>
      <c r="J91" s="3"/>
      <c r="K91" s="3"/>
      <c r="L91" s="3"/>
      <c r="M91" s="3" t="str">
        <f>IF(B91="","","LIST"&amp;"_"&amp;IFERROR(VLOOKUP(B91,LOOKUPS!$K$2:$L$10,2,FALSE),"UNK")&amp;"_"&amp;IFERROR(VLOOKUP(C91,LOOKUPS!$N$2:$O$10,2,FALSE),"UNK")&amp;"_"&amp;UPPER(L91))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7"/>
        <v/>
      </c>
      <c r="B92" s="3"/>
      <c r="C92" s="3"/>
      <c r="D92" s="3"/>
      <c r="E92" s="3"/>
      <c r="F92" s="3"/>
      <c r="G92" s="3"/>
      <c r="H92" s="3"/>
      <c r="I92" s="3" t="str">
        <f t="shared" si="6"/>
        <v/>
      </c>
      <c r="J92" s="3"/>
      <c r="K92" s="3"/>
      <c r="L92" s="3"/>
      <c r="M92" s="3" t="str">
        <f>IF(B92="","","LIST"&amp;"_"&amp;IFERROR(VLOOKUP(B92,LOOKUPS!$K$2:$L$10,2,FALSE),"UNK")&amp;"_"&amp;IFERROR(VLOOKUP(C92,LOOKUPS!$N$2:$O$10,2,FALSE),"UNK")&amp;"_"&amp;UPPER(L92))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7"/>
        <v/>
      </c>
      <c r="B93" s="3"/>
      <c r="C93" s="3"/>
      <c r="D93" s="3"/>
      <c r="E93" s="3"/>
      <c r="F93" s="3"/>
      <c r="G93" s="3"/>
      <c r="H93" s="3"/>
      <c r="I93" s="3" t="str">
        <f t="shared" si="6"/>
        <v/>
      </c>
      <c r="J93" s="3"/>
      <c r="K93" s="3"/>
      <c r="L93" s="3"/>
      <c r="M93" s="3" t="str">
        <f>IF(B93="","","LIST"&amp;"_"&amp;IFERROR(VLOOKUP(B93,LOOKUPS!$K$2:$L$10,2,FALSE),"UNK")&amp;"_"&amp;IFERROR(VLOOKUP(C93,LOOKUPS!$N$2:$O$10,2,FALSE),"UNK")&amp;"_"&amp;UPPER(L93))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7"/>
        <v/>
      </c>
      <c r="B94" s="3"/>
      <c r="C94" s="3"/>
      <c r="D94" s="3"/>
      <c r="E94" s="3"/>
      <c r="F94" s="3"/>
      <c r="G94" s="3"/>
      <c r="H94" s="3"/>
      <c r="I94" s="3" t="str">
        <f t="shared" si="6"/>
        <v/>
      </c>
      <c r="J94" s="3"/>
      <c r="K94" s="3"/>
      <c r="L94" s="3"/>
      <c r="M94" s="3" t="str">
        <f>IF(B94="","","LIST"&amp;"_"&amp;IFERROR(VLOOKUP(B94,LOOKUPS!$K$2:$L$10,2,FALSE),"UNK")&amp;"_"&amp;IFERROR(VLOOKUP(C94,LOOKUPS!$N$2:$O$10,2,FALSE),"UNK")&amp;"_"&amp;UPPER(L94))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7"/>
        <v/>
      </c>
      <c r="B95" s="3"/>
      <c r="C95" s="3"/>
      <c r="D95" s="3"/>
      <c r="E95" s="3"/>
      <c r="F95" s="3"/>
      <c r="G95" s="3"/>
      <c r="H95" s="3"/>
      <c r="I95" s="3" t="str">
        <f t="shared" si="6"/>
        <v/>
      </c>
      <c r="J95" s="3"/>
      <c r="K95" s="3"/>
      <c r="L95" s="3"/>
      <c r="M95" s="3" t="str">
        <f>IF(B95="","","LIST"&amp;"_"&amp;IFERROR(VLOOKUP(B95,LOOKUPS!$K$2:$L$10,2,FALSE),"UNK")&amp;"_"&amp;IFERROR(VLOOKUP(C95,LOOKUPS!$N$2:$O$10,2,FALSE),"UNK")&amp;"_"&amp;UPPER(L95))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7"/>
        <v/>
      </c>
      <c r="B96" s="3"/>
      <c r="C96" s="3"/>
      <c r="D96" s="3"/>
      <c r="E96" s="3"/>
      <c r="F96" s="3"/>
      <c r="G96" s="3"/>
      <c r="H96" s="3"/>
      <c r="I96" s="3" t="str">
        <f t="shared" si="6"/>
        <v/>
      </c>
      <c r="J96" s="3"/>
      <c r="K96" s="3"/>
      <c r="L96" s="3"/>
      <c r="M96" s="3" t="str">
        <f>IF(B96="","","LIST"&amp;"_"&amp;IFERROR(VLOOKUP(B96,LOOKUPS!$K$2:$L$10,2,FALSE),"UNK")&amp;"_"&amp;IFERROR(VLOOKUP(C96,LOOKUPS!$N$2:$O$10,2,FALSE),"UNK")&amp;"_"&amp;UPPER(L96))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7"/>
        <v/>
      </c>
      <c r="B97" s="3"/>
      <c r="C97" s="3"/>
      <c r="D97" s="3"/>
      <c r="E97" s="3"/>
      <c r="F97" s="3"/>
      <c r="G97" s="3"/>
      <c r="H97" s="3"/>
      <c r="I97" s="3" t="str">
        <f t="shared" si="6"/>
        <v/>
      </c>
      <c r="J97" s="3"/>
      <c r="K97" s="3"/>
      <c r="L97" s="3"/>
      <c r="M97" s="3" t="str">
        <f>IF(B97="","","LIST"&amp;"_"&amp;IFERROR(VLOOKUP(B97,LOOKUPS!$K$2:$L$10,2,FALSE),"UNK")&amp;"_"&amp;IFERROR(VLOOKUP(C97,LOOKUPS!$N$2:$O$10,2,FALSE),"UNK")&amp;"_"&amp;UPPER(L97))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7"/>
        <v/>
      </c>
      <c r="B98" s="3"/>
      <c r="C98" s="3"/>
      <c r="D98" s="3"/>
      <c r="E98" s="3"/>
      <c r="F98" s="3"/>
      <c r="G98" s="3"/>
      <c r="H98" s="3"/>
      <c r="I98" s="3" t="str">
        <f t="shared" si="6"/>
        <v/>
      </c>
      <c r="J98" s="3"/>
      <c r="K98" s="3"/>
      <c r="L98" s="3"/>
      <c r="M98" s="3" t="str">
        <f>IF(B98="","","LIST"&amp;"_"&amp;IFERROR(VLOOKUP(B98,LOOKUPS!$K$2:$L$10,2,FALSE),"UNK")&amp;"_"&amp;IFERROR(VLOOKUP(C98,LOOKUPS!$N$2:$O$10,2,FALSE),"UNK")&amp;"_"&amp;UPPER(L98))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7"/>
        <v/>
      </c>
      <c r="B99" s="3"/>
      <c r="C99" s="3"/>
      <c r="D99" s="3"/>
      <c r="E99" s="3"/>
      <c r="F99" s="3"/>
      <c r="G99" s="3"/>
      <c r="H99" s="3"/>
      <c r="I99" s="3" t="str">
        <f t="shared" si="6"/>
        <v/>
      </c>
      <c r="J99" s="3"/>
      <c r="K99" s="3"/>
      <c r="L99" s="3"/>
      <c r="M99" s="3" t="str">
        <f>IF(B99="","","LIST"&amp;"_"&amp;IFERROR(VLOOKUP(B99,LOOKUPS!$K$2:$L$10,2,FALSE),"UNK")&amp;"_"&amp;IFERROR(VLOOKUP(C99,LOOKUPS!$N$2:$O$10,2,FALSE),"UNK")&amp;"_"&amp;UPPER(L99))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7"/>
        <v/>
      </c>
      <c r="B100" s="3"/>
      <c r="C100" s="3"/>
      <c r="D100" s="3"/>
      <c r="E100" s="3"/>
      <c r="F100" s="3"/>
      <c r="G100" s="3"/>
      <c r="H100" s="3"/>
      <c r="I100" s="3" t="str">
        <f t="shared" si="6"/>
        <v/>
      </c>
      <c r="J100" s="3"/>
      <c r="K100" s="3"/>
      <c r="L100" s="3"/>
      <c r="M100" s="3" t="str">
        <f>IF(B100="","","LIST"&amp;"_"&amp;IFERROR(VLOOKUP(B100,LOOKUPS!$K$2:$L$10,2,FALSE),"UNK")&amp;"_"&amp;IFERROR(VLOOKUP(C100,LOOKUPS!$N$2:$O$10,2,FALSE),"UNK")&amp;"_"&amp;UPPER(L100))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7"/>
        <v/>
      </c>
      <c r="B101" s="3"/>
      <c r="C101" s="3"/>
      <c r="D101" s="3"/>
      <c r="E101" s="3"/>
      <c r="F101" s="3"/>
      <c r="G101" s="3"/>
      <c r="H101" s="3"/>
      <c r="I101" s="3" t="str">
        <f t="shared" si="6"/>
        <v/>
      </c>
      <c r="J101" s="3"/>
      <c r="K101" s="3"/>
      <c r="L101" s="3"/>
      <c r="M101" s="3" t="str">
        <f>IF(B101="","","LIST"&amp;"_"&amp;IFERROR(VLOOKUP(B101,LOOKUPS!$K$2:$L$10,2,FALSE),"UNK")&amp;"_"&amp;IFERROR(VLOOKUP(C101,LOOKUPS!$N$2:$O$10,2,FALSE),"UNK")&amp;"_"&amp;UPPER(L101))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7"/>
        <v/>
      </c>
      <c r="B102" s="3"/>
      <c r="C102" s="3"/>
      <c r="D102" s="3"/>
      <c r="E102" s="3"/>
      <c r="F102" s="3"/>
      <c r="G102" s="3"/>
      <c r="H102" s="3"/>
      <c r="I102" s="3" t="str">
        <f t="shared" si="6"/>
        <v/>
      </c>
      <c r="J102" s="3"/>
      <c r="K102" s="3"/>
      <c r="L102" s="3"/>
      <c r="M102" s="3" t="str">
        <f>IF(B102="","","LIST"&amp;"_"&amp;IFERROR(VLOOKUP(B102,LOOKUPS!$K$2:$L$10,2,FALSE),"UNK")&amp;"_"&amp;IFERROR(VLOOKUP(C102,LOOKUPS!$N$2:$O$10,2,FALSE),"UNK")&amp;"_"&amp;UPPER(L102))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7"/>
        <v/>
      </c>
      <c r="B103" s="3"/>
      <c r="C103" s="3"/>
      <c r="D103" s="3"/>
      <c r="E103" s="3"/>
      <c r="F103" s="3"/>
      <c r="G103" s="3"/>
      <c r="H103" s="3"/>
      <c r="I103" s="3" t="str">
        <f t="shared" si="6"/>
        <v/>
      </c>
      <c r="J103" s="3"/>
      <c r="K103" s="3"/>
      <c r="L103" s="3"/>
      <c r="M103" s="3" t="str">
        <f>IF(B103="","","LIST"&amp;"_"&amp;IFERROR(VLOOKUP(B103,LOOKUPS!$K$2:$L$10,2,FALSE),"UNK")&amp;"_"&amp;IFERROR(VLOOKUP(C103,LOOKUPS!$N$2:$O$10,2,FALSE),"UNK")&amp;"_"&amp;UPPER(L103))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7"/>
        <v/>
      </c>
      <c r="B104" s="3"/>
      <c r="C104" s="3"/>
      <c r="D104" s="3"/>
      <c r="E104" s="3"/>
      <c r="F104" s="3"/>
      <c r="G104" s="3"/>
      <c r="H104" s="3"/>
      <c r="I104" s="3" t="str">
        <f t="shared" si="6"/>
        <v/>
      </c>
      <c r="J104" s="3"/>
      <c r="K104" s="3"/>
      <c r="L104" s="3"/>
      <c r="M104" s="3" t="str">
        <f>IF(B104="","","LIST"&amp;"_"&amp;IFERROR(VLOOKUP(B104,LOOKUPS!$K$2:$L$10,2,FALSE),"UNK")&amp;"_"&amp;IFERROR(VLOOKUP(C104,LOOKUPS!$N$2:$O$10,2,FALSE),"UNK")&amp;"_"&amp;UPPER(L104))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7"/>
        <v/>
      </c>
      <c r="B105" s="3"/>
      <c r="C105" s="3"/>
      <c r="D105" s="3"/>
      <c r="E105" s="3"/>
      <c r="F105" s="3"/>
      <c r="G105" s="3"/>
      <c r="H105" s="3"/>
      <c r="I105" s="3" t="str">
        <f t="shared" si="6"/>
        <v/>
      </c>
      <c r="J105" s="3"/>
      <c r="K105" s="3"/>
      <c r="L105" s="3"/>
      <c r="M105" s="3" t="str">
        <f>IF(B105="","","LIST"&amp;"_"&amp;IFERROR(VLOOKUP(B105,LOOKUPS!$K$2:$L$10,2,FALSE),"UNK")&amp;"_"&amp;IFERROR(VLOOKUP(C105,LOOKUPS!$N$2:$O$10,2,FALSE),"UNK")&amp;"_"&amp;UPPER(L105))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7"/>
        <v/>
      </c>
      <c r="B106" s="3"/>
      <c r="C106" s="3"/>
      <c r="D106" s="3"/>
      <c r="E106" s="3"/>
      <c r="F106" s="3"/>
      <c r="G106" s="3"/>
      <c r="H106" s="3"/>
      <c r="I106" s="3" t="str">
        <f t="shared" si="6"/>
        <v/>
      </c>
      <c r="J106" s="3"/>
      <c r="K106" s="3"/>
      <c r="L106" s="3"/>
      <c r="M106" s="3" t="str">
        <f>IF(B106="","","LIST"&amp;"_"&amp;IFERROR(VLOOKUP(B106,LOOKUPS!$K$2:$L$10,2,FALSE),"UNK")&amp;"_"&amp;IFERROR(VLOOKUP(C106,LOOKUPS!$N$2:$O$10,2,FALSE),"UNK")&amp;"_"&amp;UPPER(L106))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7"/>
        <v/>
      </c>
      <c r="B107" s="3"/>
      <c r="C107" s="3"/>
      <c r="D107" s="3"/>
      <c r="E107" s="3"/>
      <c r="F107" s="3"/>
      <c r="G107" s="3"/>
      <c r="H107" s="3"/>
      <c r="I107" s="3" t="str">
        <f t="shared" si="6"/>
        <v/>
      </c>
      <c r="J107" s="3"/>
      <c r="K107" s="3"/>
      <c r="L107" s="3"/>
      <c r="M107" s="3" t="str">
        <f>IF(B107="","","LIST"&amp;"_"&amp;IFERROR(VLOOKUP(B107,LOOKUPS!$K$2:$L$10,2,FALSE),"UNK")&amp;"_"&amp;IFERROR(VLOOKUP(C107,LOOKUPS!$N$2:$O$10,2,FALSE),"UNK")&amp;"_"&amp;UPPER(L107))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7"/>
        <v/>
      </c>
      <c r="B108" s="3"/>
      <c r="C108" s="3"/>
      <c r="D108" s="3"/>
      <c r="E108" s="3"/>
      <c r="F108" s="3"/>
      <c r="G108" s="3"/>
      <c r="H108" s="3"/>
      <c r="I108" s="3" t="str">
        <f t="shared" ref="I108:I171" si="8">IFERROR(_xlfn.TEXTJOIN("_",TRUE,_xlfn.TEXTSPLIT(D108," ",,TRUE)),"")</f>
        <v/>
      </c>
      <c r="J108" s="3"/>
      <c r="K108" s="3"/>
      <c r="L108" s="3"/>
      <c r="M108" s="3" t="str">
        <f>IF(B108="","","LIST"&amp;"_"&amp;IFERROR(VLOOKUP(B108,LOOKUPS!$K$2:$L$10,2,FALSE),"UNK")&amp;"_"&amp;IFERROR(VLOOKUP(C108,LOOKUPS!$N$2:$O$10,2,FALSE),"UNK")&amp;"_"&amp;UPPER(L108))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7"/>
        <v/>
      </c>
      <c r="B109" s="3"/>
      <c r="C109" s="3"/>
      <c r="D109" s="3"/>
      <c r="E109" s="3"/>
      <c r="F109" s="3"/>
      <c r="G109" s="3"/>
      <c r="H109" s="3"/>
      <c r="I109" s="3" t="str">
        <f t="shared" si="8"/>
        <v/>
      </c>
      <c r="J109" s="3"/>
      <c r="K109" s="3"/>
      <c r="L109" s="3"/>
      <c r="M109" s="3" t="str">
        <f>IF(B109="","","LIST"&amp;"_"&amp;IFERROR(VLOOKUP(B109,LOOKUPS!$K$2:$L$10,2,FALSE),"UNK")&amp;"_"&amp;IFERROR(VLOOKUP(C109,LOOKUPS!$N$2:$O$10,2,FALSE),"UNK")&amp;"_"&amp;UPPER(L109))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7"/>
        <v/>
      </c>
      <c r="B110" s="3"/>
      <c r="C110" s="3"/>
      <c r="D110" s="3"/>
      <c r="E110" s="3"/>
      <c r="F110" s="3"/>
      <c r="G110" s="3"/>
      <c r="H110" s="3"/>
      <c r="I110" s="3" t="str">
        <f t="shared" si="8"/>
        <v/>
      </c>
      <c r="J110" s="3"/>
      <c r="K110" s="3"/>
      <c r="L110" s="3"/>
      <c r="M110" s="3" t="str">
        <f>IF(B110="","","LIST"&amp;"_"&amp;IFERROR(VLOOKUP(B110,LOOKUPS!$K$2:$L$10,2,FALSE),"UNK")&amp;"_"&amp;IFERROR(VLOOKUP(C110,LOOKUPS!$N$2:$O$10,2,FALSE),"UNK")&amp;"_"&amp;UPPER(L110))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7"/>
        <v/>
      </c>
      <c r="B111" s="3"/>
      <c r="C111" s="3"/>
      <c r="D111" s="3"/>
      <c r="E111" s="3"/>
      <c r="F111" s="3"/>
      <c r="G111" s="3"/>
      <c r="H111" s="3"/>
      <c r="I111" s="3" t="str">
        <f t="shared" si="8"/>
        <v/>
      </c>
      <c r="J111" s="3"/>
      <c r="K111" s="3"/>
      <c r="L111" s="3"/>
      <c r="M111" s="3" t="str">
        <f>IF(B111="","","LIST"&amp;"_"&amp;IFERROR(VLOOKUP(B111,LOOKUPS!$K$2:$L$10,2,FALSE),"UNK")&amp;"_"&amp;IFERROR(VLOOKUP(C111,LOOKUPS!$N$2:$O$10,2,FALSE),"UNK")&amp;"_"&amp;UPPER(L111))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7"/>
        <v/>
      </c>
      <c r="B112" s="3"/>
      <c r="C112" s="3"/>
      <c r="D112" s="3"/>
      <c r="E112" s="3"/>
      <c r="F112" s="3"/>
      <c r="G112" s="3"/>
      <c r="H112" s="3"/>
      <c r="I112" s="3" t="str">
        <f t="shared" si="8"/>
        <v/>
      </c>
      <c r="J112" s="3"/>
      <c r="K112" s="3"/>
      <c r="L112" s="3"/>
      <c r="M112" s="3" t="str">
        <f>IF(B112="","","LIST"&amp;"_"&amp;IFERROR(VLOOKUP(B112,LOOKUPS!$K$2:$L$10,2,FALSE),"UNK")&amp;"_"&amp;IFERROR(VLOOKUP(C112,LOOKUPS!$N$2:$O$10,2,FALSE),"UNK")&amp;"_"&amp;UPPER(L112))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7"/>
        <v/>
      </c>
      <c r="B113" s="3"/>
      <c r="C113" s="3"/>
      <c r="D113" s="3"/>
      <c r="E113" s="3"/>
      <c r="F113" s="3"/>
      <c r="G113" s="3"/>
      <c r="H113" s="3"/>
      <c r="I113" s="3" t="str">
        <f t="shared" si="8"/>
        <v/>
      </c>
      <c r="J113" s="3"/>
      <c r="K113" s="3"/>
      <c r="L113" s="3"/>
      <c r="M113" s="3" t="str">
        <f>IF(B113="","","LIST"&amp;"_"&amp;IFERROR(VLOOKUP(B113,LOOKUPS!$K$2:$L$10,2,FALSE),"UNK")&amp;"_"&amp;IFERROR(VLOOKUP(C113,LOOKUPS!$N$2:$O$10,2,FALSE),"UNK")&amp;"_"&amp;UPPER(L113))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7"/>
        <v/>
      </c>
      <c r="B114" s="3"/>
      <c r="C114" s="3"/>
      <c r="D114" s="3"/>
      <c r="E114" s="3"/>
      <c r="F114" s="3"/>
      <c r="G114" s="3"/>
      <c r="H114" s="3"/>
      <c r="I114" s="3" t="str">
        <f t="shared" si="8"/>
        <v/>
      </c>
      <c r="J114" s="3"/>
      <c r="K114" s="3"/>
      <c r="L114" s="3"/>
      <c r="M114" s="3" t="str">
        <f>IF(B114="","","LIST"&amp;"_"&amp;IFERROR(VLOOKUP(B114,LOOKUPS!$K$2:$L$10,2,FALSE),"UNK")&amp;"_"&amp;IFERROR(VLOOKUP(C114,LOOKUPS!$N$2:$O$10,2,FALSE),"UNK")&amp;"_"&amp;UPPER(L114))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7"/>
        <v/>
      </c>
      <c r="B115" s="3"/>
      <c r="C115" s="3"/>
      <c r="D115" s="3"/>
      <c r="E115" s="3"/>
      <c r="F115" s="3"/>
      <c r="G115" s="3"/>
      <c r="H115" s="3"/>
      <c r="I115" s="3" t="str">
        <f t="shared" si="8"/>
        <v/>
      </c>
      <c r="J115" s="3"/>
      <c r="K115" s="3"/>
      <c r="L115" s="3"/>
      <c r="M115" s="3" t="str">
        <f>IF(B115="","","LIST"&amp;"_"&amp;IFERROR(VLOOKUP(B115,LOOKUPS!$K$2:$L$10,2,FALSE),"UNK")&amp;"_"&amp;IFERROR(VLOOKUP(C115,LOOKUPS!$N$2:$O$10,2,FALSE),"UNK")&amp;"_"&amp;UPPER(L115))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7"/>
        <v/>
      </c>
      <c r="B116" s="3"/>
      <c r="C116" s="3"/>
      <c r="D116" s="3"/>
      <c r="E116" s="3"/>
      <c r="F116" s="3"/>
      <c r="G116" s="3"/>
      <c r="H116" s="3"/>
      <c r="I116" s="3" t="str">
        <f t="shared" si="8"/>
        <v/>
      </c>
      <c r="J116" s="3"/>
      <c r="K116" s="3"/>
      <c r="L116" s="3"/>
      <c r="M116" s="3" t="str">
        <f>IF(B116="","","LIST"&amp;"_"&amp;IFERROR(VLOOKUP(B116,LOOKUPS!$K$2:$L$10,2,FALSE),"UNK")&amp;"_"&amp;IFERROR(VLOOKUP(C116,LOOKUPS!$N$2:$O$10,2,FALSE),"UNK")&amp;"_"&amp;UPPER(L116))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7"/>
        <v/>
      </c>
      <c r="B117" s="3"/>
      <c r="C117" s="3"/>
      <c r="D117" s="3"/>
      <c r="E117" s="3"/>
      <c r="F117" s="3"/>
      <c r="G117" s="3"/>
      <c r="H117" s="3"/>
      <c r="I117" s="3" t="str">
        <f t="shared" si="8"/>
        <v/>
      </c>
      <c r="J117" s="3"/>
      <c r="K117" s="3"/>
      <c r="L117" s="3"/>
      <c r="M117" s="3" t="str">
        <f>IF(B117="","","LIST"&amp;"_"&amp;IFERROR(VLOOKUP(B117,LOOKUPS!$K$2:$L$10,2,FALSE),"UNK")&amp;"_"&amp;IFERROR(VLOOKUP(C117,LOOKUPS!$N$2:$O$10,2,FALSE),"UNK")&amp;"_"&amp;UPPER(L117))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7"/>
        <v/>
      </c>
      <c r="B118" s="3"/>
      <c r="C118" s="3"/>
      <c r="D118" s="3"/>
      <c r="E118" s="3"/>
      <c r="F118" s="3"/>
      <c r="G118" s="3"/>
      <c r="H118" s="3"/>
      <c r="I118" s="3" t="str">
        <f t="shared" si="8"/>
        <v/>
      </c>
      <c r="J118" s="3"/>
      <c r="K118" s="3"/>
      <c r="L118" s="3"/>
      <c r="M118" s="3" t="str">
        <f>IF(B118="","","LIST"&amp;"_"&amp;IFERROR(VLOOKUP(B118,LOOKUPS!$K$2:$L$10,2,FALSE),"UNK")&amp;"_"&amp;IFERROR(VLOOKUP(C118,LOOKUPS!$N$2:$O$10,2,FALSE),"UNK")&amp;"_"&amp;UPPER(L118))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7"/>
        <v/>
      </c>
      <c r="B119" s="3"/>
      <c r="C119" s="3"/>
      <c r="D119" s="3"/>
      <c r="E119" s="3"/>
      <c r="F119" s="3"/>
      <c r="G119" s="3"/>
      <c r="H119" s="3"/>
      <c r="I119" s="3" t="str">
        <f t="shared" si="8"/>
        <v/>
      </c>
      <c r="J119" s="3"/>
      <c r="K119" s="3"/>
      <c r="L119" s="3"/>
      <c r="M119" s="3" t="str">
        <f>IF(B119="","","LIST"&amp;"_"&amp;IFERROR(VLOOKUP(B119,LOOKUPS!$K$2:$L$10,2,FALSE),"UNK")&amp;"_"&amp;IFERROR(VLOOKUP(C119,LOOKUPS!$N$2:$O$10,2,FALSE),"UNK")&amp;"_"&amp;UPPER(L119))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7"/>
        <v/>
      </c>
      <c r="B120" s="3"/>
      <c r="C120" s="3"/>
      <c r="D120" s="3"/>
      <c r="E120" s="3"/>
      <c r="F120" s="3"/>
      <c r="G120" s="3"/>
      <c r="H120" s="3"/>
      <c r="I120" s="3" t="str">
        <f t="shared" si="8"/>
        <v/>
      </c>
      <c r="J120" s="3"/>
      <c r="K120" s="3"/>
      <c r="L120" s="3"/>
      <c r="M120" s="3" t="str">
        <f>IF(B120="","","LIST"&amp;"_"&amp;IFERROR(VLOOKUP(B120,LOOKUPS!$K$2:$L$10,2,FALSE),"UNK")&amp;"_"&amp;IFERROR(VLOOKUP(C120,LOOKUPS!$N$2:$O$10,2,FALSE),"UNK")&amp;"_"&amp;UPPER(L120))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7"/>
        <v/>
      </c>
      <c r="B121" s="3"/>
      <c r="C121" s="3"/>
      <c r="D121" s="3"/>
      <c r="E121" s="3"/>
      <c r="F121" s="3"/>
      <c r="G121" s="3"/>
      <c r="H121" s="3"/>
      <c r="I121" s="3" t="str">
        <f t="shared" si="8"/>
        <v/>
      </c>
      <c r="J121" s="3"/>
      <c r="K121" s="3"/>
      <c r="L121" s="3"/>
      <c r="M121" s="3" t="str">
        <f>IF(B121="","","LIST"&amp;"_"&amp;IFERROR(VLOOKUP(B121,LOOKUPS!$K$2:$L$10,2,FALSE),"UNK")&amp;"_"&amp;IFERROR(VLOOKUP(C121,LOOKUPS!$N$2:$O$10,2,FALSE),"UNK")&amp;"_"&amp;UPPER(L121))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7"/>
        <v/>
      </c>
      <c r="B122" s="3"/>
      <c r="C122" s="3"/>
      <c r="D122" s="3"/>
      <c r="E122" s="3"/>
      <c r="F122" s="3"/>
      <c r="G122" s="3"/>
      <c r="H122" s="3"/>
      <c r="I122" s="3" t="str">
        <f t="shared" si="8"/>
        <v/>
      </c>
      <c r="J122" s="3"/>
      <c r="K122" s="3"/>
      <c r="L122" s="3"/>
      <c r="M122" s="3" t="str">
        <f>IF(B122="","","LIST"&amp;"_"&amp;IFERROR(VLOOKUP(B122,LOOKUPS!$K$2:$L$10,2,FALSE),"UNK")&amp;"_"&amp;IFERROR(VLOOKUP(C122,LOOKUPS!$N$2:$O$10,2,FALSE),"UNK")&amp;"_"&amp;UPPER(L122))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7"/>
        <v/>
      </c>
      <c r="B123" s="3"/>
      <c r="C123" s="3"/>
      <c r="D123" s="3"/>
      <c r="E123" s="3"/>
      <c r="F123" s="3"/>
      <c r="G123" s="3"/>
      <c r="H123" s="3"/>
      <c r="I123" s="3" t="str">
        <f t="shared" si="8"/>
        <v/>
      </c>
      <c r="J123" s="3"/>
      <c r="K123" s="3"/>
      <c r="L123" s="3"/>
      <c r="M123" s="3" t="str">
        <f>IF(B123="","","LIST"&amp;"_"&amp;IFERROR(VLOOKUP(B123,LOOKUPS!$K$2:$L$10,2,FALSE),"UNK")&amp;"_"&amp;IFERROR(VLOOKUP(C123,LOOKUPS!$N$2:$O$10,2,FALSE),"UNK")&amp;"_"&amp;UPPER(L123))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7"/>
        <v/>
      </c>
      <c r="B124" s="3"/>
      <c r="C124" s="3"/>
      <c r="D124" s="3"/>
      <c r="E124" s="3"/>
      <c r="F124" s="3"/>
      <c r="G124" s="3"/>
      <c r="H124" s="3"/>
      <c r="I124" s="3" t="str">
        <f t="shared" si="8"/>
        <v/>
      </c>
      <c r="J124" s="3"/>
      <c r="K124" s="3"/>
      <c r="L124" s="3"/>
      <c r="M124" s="3" t="str">
        <f>IF(B124="","","LIST"&amp;"_"&amp;IFERROR(VLOOKUP(B124,LOOKUPS!$K$2:$L$10,2,FALSE),"UNK")&amp;"_"&amp;IFERROR(VLOOKUP(C124,LOOKUPS!$N$2:$O$10,2,FALSE),"UNK")&amp;"_"&amp;UPPER(L124))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7"/>
        <v/>
      </c>
      <c r="B125" s="3"/>
      <c r="C125" s="3"/>
      <c r="D125" s="3"/>
      <c r="E125" s="3"/>
      <c r="F125" s="3"/>
      <c r="G125" s="3"/>
      <c r="H125" s="3"/>
      <c r="I125" s="3" t="str">
        <f t="shared" si="8"/>
        <v/>
      </c>
      <c r="J125" s="3"/>
      <c r="K125" s="3"/>
      <c r="L125" s="3"/>
      <c r="M125" s="3" t="str">
        <f>IF(B125="","","LIST"&amp;"_"&amp;IFERROR(VLOOKUP(B125,LOOKUPS!$K$2:$L$10,2,FALSE),"UNK")&amp;"_"&amp;IFERROR(VLOOKUP(C125,LOOKUPS!$N$2:$O$10,2,FALSE),"UNK")&amp;"_"&amp;UPPER(L125))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7"/>
        <v/>
      </c>
      <c r="B126" s="3"/>
      <c r="C126" s="3"/>
      <c r="D126" s="3"/>
      <c r="E126" s="3"/>
      <c r="F126" s="3"/>
      <c r="G126" s="3"/>
      <c r="H126" s="3"/>
      <c r="I126" s="3" t="str">
        <f t="shared" si="8"/>
        <v/>
      </c>
      <c r="J126" s="3"/>
      <c r="K126" s="3"/>
      <c r="L126" s="3"/>
      <c r="M126" s="3" t="str">
        <f>IF(B126="","","LIST"&amp;"_"&amp;IFERROR(VLOOKUP(B126,LOOKUPS!$K$2:$L$10,2,FALSE),"UNK")&amp;"_"&amp;IFERROR(VLOOKUP(C126,LOOKUPS!$N$2:$O$10,2,FALSE),"UNK")&amp;"_"&amp;UPPER(L126))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7"/>
        <v/>
      </c>
      <c r="B127" s="3"/>
      <c r="C127" s="3"/>
      <c r="D127" s="3"/>
      <c r="E127" s="3"/>
      <c r="F127" s="3"/>
      <c r="G127" s="3"/>
      <c r="H127" s="3"/>
      <c r="I127" s="3" t="str">
        <f t="shared" si="8"/>
        <v/>
      </c>
      <c r="J127" s="3"/>
      <c r="K127" s="3"/>
      <c r="L127" s="3"/>
      <c r="M127" s="3" t="str">
        <f>IF(B127="","","LIST"&amp;"_"&amp;IFERROR(VLOOKUP(B127,LOOKUPS!$K$2:$L$10,2,FALSE),"UNK")&amp;"_"&amp;IFERROR(VLOOKUP(C127,LOOKUPS!$N$2:$O$10,2,FALSE),"UNK")&amp;"_"&amp;UPPER(L127))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7"/>
        <v/>
      </c>
      <c r="B128" s="3"/>
      <c r="C128" s="3"/>
      <c r="D128" s="3"/>
      <c r="E128" s="3"/>
      <c r="F128" s="3"/>
      <c r="G128" s="3"/>
      <c r="H128" s="3"/>
      <c r="I128" s="3" t="str">
        <f t="shared" si="8"/>
        <v/>
      </c>
      <c r="J128" s="3"/>
      <c r="K128" s="3"/>
      <c r="L128" s="3"/>
      <c r="M128" s="3" t="str">
        <f>IF(B128="","","LIST"&amp;"_"&amp;IFERROR(VLOOKUP(B128,LOOKUPS!$K$2:$L$10,2,FALSE),"UNK")&amp;"_"&amp;IFERROR(VLOOKUP(C128,LOOKUPS!$N$2:$O$10,2,FALSE),"UNK")&amp;"_"&amp;UPPER(L128))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7"/>
        <v/>
      </c>
      <c r="B129" s="3"/>
      <c r="C129" s="3"/>
      <c r="D129" s="3"/>
      <c r="E129" s="3"/>
      <c r="F129" s="3"/>
      <c r="G129" s="3"/>
      <c r="H129" s="3"/>
      <c r="I129" s="3" t="str">
        <f t="shared" si="8"/>
        <v/>
      </c>
      <c r="J129" s="3"/>
      <c r="K129" s="3"/>
      <c r="L129" s="3"/>
      <c r="M129" s="3" t="str">
        <f>IF(B129="","","LIST"&amp;"_"&amp;IFERROR(VLOOKUP(B129,LOOKUPS!$K$2:$L$10,2,FALSE),"UNK")&amp;"_"&amp;IFERROR(VLOOKUP(C129,LOOKUPS!$N$2:$O$10,2,FALSE),"UNK")&amp;"_"&amp;UPPER(L129))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ref="A130:A193" si="9">IF(M130="","",M130&amp;"_"&amp;TEXT(N130,"000"))</f>
        <v/>
      </c>
      <c r="B130" s="3"/>
      <c r="C130" s="3"/>
      <c r="D130" s="3"/>
      <c r="E130" s="3"/>
      <c r="F130" s="3"/>
      <c r="G130" s="3"/>
      <c r="H130" s="3"/>
      <c r="I130" s="3" t="str">
        <f t="shared" si="8"/>
        <v/>
      </c>
      <c r="J130" s="3"/>
      <c r="K130" s="3"/>
      <c r="L130" s="3"/>
      <c r="M130" s="3" t="str">
        <f>IF(B130="","","LIST"&amp;"_"&amp;IFERROR(VLOOKUP(B130,LOOKUPS!$K$2:$L$10,2,FALSE),"UNK")&amp;"_"&amp;IFERROR(VLOOKUP(C130,LOOKUPS!$N$2:$O$10,2,FALSE),"UNK")&amp;"_"&amp;UPPER(L130))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si="9"/>
        <v/>
      </c>
      <c r="B131" s="3"/>
      <c r="C131" s="3"/>
      <c r="D131" s="3"/>
      <c r="E131" s="3"/>
      <c r="F131" s="3"/>
      <c r="G131" s="3"/>
      <c r="H131" s="3"/>
      <c r="I131" s="3" t="str">
        <f t="shared" si="8"/>
        <v/>
      </c>
      <c r="J131" s="3"/>
      <c r="K131" s="3"/>
      <c r="L131" s="3"/>
      <c r="M131" s="3" t="str">
        <f>IF(B131="","","LIST"&amp;"_"&amp;IFERROR(VLOOKUP(B131,LOOKUPS!$K$2:$L$10,2,FALSE),"UNK")&amp;"_"&amp;IFERROR(VLOOKUP(C131,LOOKUPS!$N$2:$O$10,2,FALSE),"UNK")&amp;"_"&amp;UPPER(L131))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9"/>
        <v/>
      </c>
      <c r="B132" s="3"/>
      <c r="C132" s="3"/>
      <c r="D132" s="3"/>
      <c r="E132" s="3"/>
      <c r="F132" s="3"/>
      <c r="G132" s="3"/>
      <c r="H132" s="3"/>
      <c r="I132" s="3" t="str">
        <f t="shared" si="8"/>
        <v/>
      </c>
      <c r="J132" s="3"/>
      <c r="K132" s="3"/>
      <c r="L132" s="3"/>
      <c r="M132" s="3" t="str">
        <f>IF(B132="","","LIST"&amp;"_"&amp;IFERROR(VLOOKUP(B132,LOOKUPS!$K$2:$L$10,2,FALSE),"UNK")&amp;"_"&amp;IFERROR(VLOOKUP(C132,LOOKUPS!$N$2:$O$10,2,FALSE),"UNK")&amp;"_"&amp;UPPER(L132))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9"/>
        <v/>
      </c>
      <c r="B133" s="3"/>
      <c r="C133" s="3"/>
      <c r="D133" s="3"/>
      <c r="E133" s="3"/>
      <c r="F133" s="3"/>
      <c r="G133" s="3"/>
      <c r="H133" s="3"/>
      <c r="I133" s="3" t="str">
        <f t="shared" si="8"/>
        <v/>
      </c>
      <c r="J133" s="3"/>
      <c r="K133" s="3"/>
      <c r="L133" s="3"/>
      <c r="M133" s="3" t="str">
        <f>IF(B133="","","LIST"&amp;"_"&amp;IFERROR(VLOOKUP(B133,LOOKUPS!$K$2:$L$10,2,FALSE),"UNK")&amp;"_"&amp;IFERROR(VLOOKUP(C133,LOOKUPS!$N$2:$O$10,2,FALSE),"UNK")&amp;"_"&amp;UPPER(L133))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9"/>
        <v/>
      </c>
      <c r="B134" s="3"/>
      <c r="C134" s="3"/>
      <c r="D134" s="3"/>
      <c r="E134" s="3"/>
      <c r="F134" s="3"/>
      <c r="G134" s="3"/>
      <c r="H134" s="3"/>
      <c r="I134" s="3" t="str">
        <f t="shared" si="8"/>
        <v/>
      </c>
      <c r="J134" s="3"/>
      <c r="K134" s="3"/>
      <c r="L134" s="3"/>
      <c r="M134" s="3" t="str">
        <f>IF(B134="","","LIST"&amp;"_"&amp;IFERROR(VLOOKUP(B134,LOOKUPS!$K$2:$L$10,2,FALSE),"UNK")&amp;"_"&amp;IFERROR(VLOOKUP(C134,LOOKUPS!$N$2:$O$10,2,FALSE),"UNK")&amp;"_"&amp;UPPER(L134))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9"/>
        <v/>
      </c>
      <c r="B135" s="3"/>
      <c r="C135" s="3"/>
      <c r="D135" s="3"/>
      <c r="E135" s="3"/>
      <c r="F135" s="3"/>
      <c r="G135" s="3"/>
      <c r="H135" s="3"/>
      <c r="I135" s="3" t="str">
        <f t="shared" si="8"/>
        <v/>
      </c>
      <c r="J135" s="3"/>
      <c r="K135" s="3"/>
      <c r="L135" s="3"/>
      <c r="M135" s="3" t="str">
        <f>IF(B135="","","LIST"&amp;"_"&amp;IFERROR(VLOOKUP(B135,LOOKUPS!$K$2:$L$10,2,FALSE),"UNK")&amp;"_"&amp;IFERROR(VLOOKUP(C135,LOOKUPS!$N$2:$O$10,2,FALSE),"UNK")&amp;"_"&amp;UPPER(L135))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9"/>
        <v/>
      </c>
      <c r="B136" s="3"/>
      <c r="C136" s="3"/>
      <c r="D136" s="3"/>
      <c r="E136" s="3"/>
      <c r="F136" s="3"/>
      <c r="G136" s="3"/>
      <c r="H136" s="3"/>
      <c r="I136" s="3" t="str">
        <f t="shared" si="8"/>
        <v/>
      </c>
      <c r="J136" s="3"/>
      <c r="K136" s="3"/>
      <c r="L136" s="3"/>
      <c r="M136" s="3" t="str">
        <f>IF(B136="","","LIST"&amp;"_"&amp;IFERROR(VLOOKUP(B136,LOOKUPS!$K$2:$L$10,2,FALSE),"UNK")&amp;"_"&amp;IFERROR(VLOOKUP(C136,LOOKUPS!$N$2:$O$10,2,FALSE),"UNK")&amp;"_"&amp;UPPER(L136))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9"/>
        <v/>
      </c>
      <c r="B137" s="3"/>
      <c r="C137" s="3"/>
      <c r="D137" s="3"/>
      <c r="E137" s="3"/>
      <c r="F137" s="3"/>
      <c r="G137" s="3"/>
      <c r="H137" s="3"/>
      <c r="I137" s="3" t="str">
        <f t="shared" si="8"/>
        <v/>
      </c>
      <c r="J137" s="3"/>
      <c r="K137" s="3"/>
      <c r="L137" s="3"/>
      <c r="M137" s="3" t="str">
        <f>IF(B137="","","LIST"&amp;"_"&amp;IFERROR(VLOOKUP(B137,LOOKUPS!$K$2:$L$10,2,FALSE),"UNK")&amp;"_"&amp;IFERROR(VLOOKUP(C137,LOOKUPS!$N$2:$O$10,2,FALSE),"UNK")&amp;"_"&amp;UPPER(L137))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9"/>
        <v/>
      </c>
      <c r="B138" s="3"/>
      <c r="C138" s="3"/>
      <c r="D138" s="3"/>
      <c r="E138" s="3"/>
      <c r="F138" s="3"/>
      <c r="G138" s="3"/>
      <c r="H138" s="3"/>
      <c r="I138" s="3" t="str">
        <f t="shared" si="8"/>
        <v/>
      </c>
      <c r="J138" s="3"/>
      <c r="K138" s="3"/>
      <c r="L138" s="3"/>
      <c r="M138" s="3" t="str">
        <f>IF(B138="","","LIST"&amp;"_"&amp;IFERROR(VLOOKUP(B138,LOOKUPS!$K$2:$L$10,2,FALSE),"UNK")&amp;"_"&amp;IFERROR(VLOOKUP(C138,LOOKUPS!$N$2:$O$10,2,FALSE),"UNK")&amp;"_"&amp;UPPER(L138))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9"/>
        <v/>
      </c>
      <c r="B139" s="3"/>
      <c r="C139" s="3"/>
      <c r="D139" s="3"/>
      <c r="E139" s="3"/>
      <c r="F139" s="3"/>
      <c r="G139" s="3"/>
      <c r="H139" s="3"/>
      <c r="I139" s="3" t="str">
        <f t="shared" si="8"/>
        <v/>
      </c>
      <c r="J139" s="3"/>
      <c r="K139" s="3"/>
      <c r="L139" s="3"/>
      <c r="M139" s="3" t="str">
        <f>IF(B139="","","LIST"&amp;"_"&amp;IFERROR(VLOOKUP(B139,LOOKUPS!$K$2:$L$10,2,FALSE),"UNK")&amp;"_"&amp;IFERROR(VLOOKUP(C139,LOOKUPS!$N$2:$O$10,2,FALSE),"UNK")&amp;"_"&amp;UPPER(L139))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9"/>
        <v/>
      </c>
      <c r="B140" s="3"/>
      <c r="C140" s="3"/>
      <c r="D140" s="3"/>
      <c r="E140" s="3"/>
      <c r="F140" s="3"/>
      <c r="G140" s="3"/>
      <c r="H140" s="3"/>
      <c r="I140" s="3" t="str">
        <f t="shared" si="8"/>
        <v/>
      </c>
      <c r="J140" s="3"/>
      <c r="K140" s="3"/>
      <c r="L140" s="3"/>
      <c r="M140" s="3" t="str">
        <f>IF(B140="","","LIST"&amp;"_"&amp;IFERROR(VLOOKUP(B140,LOOKUPS!$K$2:$L$10,2,FALSE),"UNK")&amp;"_"&amp;IFERROR(VLOOKUP(C140,LOOKUPS!$N$2:$O$10,2,FALSE),"UNK")&amp;"_"&amp;UPPER(L140))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9"/>
        <v/>
      </c>
      <c r="B141" s="3"/>
      <c r="C141" s="3"/>
      <c r="D141" s="3"/>
      <c r="E141" s="3"/>
      <c r="F141" s="3"/>
      <c r="G141" s="3"/>
      <c r="H141" s="3"/>
      <c r="I141" s="3" t="str">
        <f t="shared" si="8"/>
        <v/>
      </c>
      <c r="J141" s="3"/>
      <c r="K141" s="3"/>
      <c r="L141" s="3"/>
      <c r="M141" s="3" t="str">
        <f>IF(B141="","","LIST"&amp;"_"&amp;IFERROR(VLOOKUP(B141,LOOKUPS!$K$2:$L$10,2,FALSE),"UNK")&amp;"_"&amp;IFERROR(VLOOKUP(C141,LOOKUPS!$N$2:$O$10,2,FALSE),"UNK")&amp;"_"&amp;UPPER(L141))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9"/>
        <v/>
      </c>
      <c r="B142" s="3"/>
      <c r="C142" s="3"/>
      <c r="D142" s="3"/>
      <c r="E142" s="3"/>
      <c r="F142" s="3"/>
      <c r="G142" s="3"/>
      <c r="H142" s="3"/>
      <c r="I142" s="3" t="str">
        <f t="shared" si="8"/>
        <v/>
      </c>
      <c r="J142" s="3"/>
      <c r="K142" s="3"/>
      <c r="L142" s="3"/>
      <c r="M142" s="3" t="str">
        <f>IF(B142="","","LIST"&amp;"_"&amp;IFERROR(VLOOKUP(B142,LOOKUPS!$K$2:$L$10,2,FALSE),"UNK")&amp;"_"&amp;IFERROR(VLOOKUP(C142,LOOKUPS!$N$2:$O$10,2,FALSE),"UNK")&amp;"_"&amp;UPPER(L142))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9"/>
        <v/>
      </c>
      <c r="B143" s="3"/>
      <c r="C143" s="3"/>
      <c r="D143" s="3"/>
      <c r="E143" s="3"/>
      <c r="F143" s="3"/>
      <c r="G143" s="3"/>
      <c r="H143" s="3"/>
      <c r="I143" s="3" t="str">
        <f t="shared" si="8"/>
        <v/>
      </c>
      <c r="J143" s="3"/>
      <c r="K143" s="3"/>
      <c r="L143" s="3"/>
      <c r="M143" s="3" t="str">
        <f>IF(B143="","","LIST"&amp;"_"&amp;IFERROR(VLOOKUP(B143,LOOKUPS!$K$2:$L$10,2,FALSE),"UNK")&amp;"_"&amp;IFERROR(VLOOKUP(C143,LOOKUPS!$N$2:$O$10,2,FALSE),"UNK")&amp;"_"&amp;UPPER(L143))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9"/>
        <v/>
      </c>
      <c r="B144" s="3"/>
      <c r="C144" s="3"/>
      <c r="D144" s="3"/>
      <c r="E144" s="3"/>
      <c r="F144" s="3"/>
      <c r="G144" s="3"/>
      <c r="H144" s="3"/>
      <c r="I144" s="3" t="str">
        <f t="shared" si="8"/>
        <v/>
      </c>
      <c r="J144" s="3"/>
      <c r="K144" s="3"/>
      <c r="L144" s="3"/>
      <c r="M144" s="3" t="str">
        <f>IF(B144="","","LIST"&amp;"_"&amp;IFERROR(VLOOKUP(B144,LOOKUPS!$K$2:$L$10,2,FALSE),"UNK")&amp;"_"&amp;IFERROR(VLOOKUP(C144,LOOKUPS!$N$2:$O$10,2,FALSE),"UNK")&amp;"_"&amp;UPPER(L144))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9"/>
        <v/>
      </c>
      <c r="B145" s="3"/>
      <c r="C145" s="3"/>
      <c r="D145" s="3"/>
      <c r="E145" s="3"/>
      <c r="F145" s="3"/>
      <c r="G145" s="3"/>
      <c r="H145" s="3"/>
      <c r="I145" s="3" t="str">
        <f t="shared" si="8"/>
        <v/>
      </c>
      <c r="J145" s="3"/>
      <c r="K145" s="3"/>
      <c r="L145" s="3"/>
      <c r="M145" s="3" t="str">
        <f>IF(B145="","","LIST"&amp;"_"&amp;IFERROR(VLOOKUP(B145,LOOKUPS!$K$2:$L$10,2,FALSE),"UNK")&amp;"_"&amp;IFERROR(VLOOKUP(C145,LOOKUPS!$N$2:$O$10,2,FALSE),"UNK")&amp;"_"&amp;UPPER(L145))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9"/>
        <v/>
      </c>
      <c r="B146" s="3"/>
      <c r="C146" s="3"/>
      <c r="D146" s="3"/>
      <c r="E146" s="3"/>
      <c r="F146" s="3"/>
      <c r="G146" s="3"/>
      <c r="H146" s="3"/>
      <c r="I146" s="3" t="str">
        <f t="shared" si="8"/>
        <v/>
      </c>
      <c r="J146" s="3"/>
      <c r="K146" s="3"/>
      <c r="L146" s="3"/>
      <c r="M146" s="3" t="str">
        <f>IF(B146="","","LIST"&amp;"_"&amp;IFERROR(VLOOKUP(B146,LOOKUPS!$K$2:$L$10,2,FALSE),"UNK")&amp;"_"&amp;IFERROR(VLOOKUP(C146,LOOKUPS!$N$2:$O$10,2,FALSE),"UNK")&amp;"_"&amp;UPPER(L146))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9"/>
        <v/>
      </c>
      <c r="B147" s="3"/>
      <c r="C147" s="3"/>
      <c r="D147" s="3"/>
      <c r="E147" s="3"/>
      <c r="F147" s="3"/>
      <c r="G147" s="3"/>
      <c r="H147" s="3"/>
      <c r="I147" s="3" t="str">
        <f t="shared" si="8"/>
        <v/>
      </c>
      <c r="J147" s="3"/>
      <c r="K147" s="3"/>
      <c r="L147" s="3"/>
      <c r="M147" s="3" t="str">
        <f>IF(B147="","","LIST"&amp;"_"&amp;IFERROR(VLOOKUP(B147,LOOKUPS!$K$2:$L$10,2,FALSE),"UNK")&amp;"_"&amp;IFERROR(VLOOKUP(C147,LOOKUPS!$N$2:$O$10,2,FALSE),"UNK")&amp;"_"&amp;UPPER(L147))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9"/>
        <v/>
      </c>
      <c r="B148" s="3"/>
      <c r="C148" s="3"/>
      <c r="D148" s="3"/>
      <c r="E148" s="3"/>
      <c r="F148" s="3"/>
      <c r="G148" s="3"/>
      <c r="H148" s="3"/>
      <c r="I148" s="3" t="str">
        <f t="shared" si="8"/>
        <v/>
      </c>
      <c r="J148" s="3"/>
      <c r="K148" s="3"/>
      <c r="L148" s="3"/>
      <c r="M148" s="3" t="str">
        <f>IF(B148="","","LIST"&amp;"_"&amp;IFERROR(VLOOKUP(B148,LOOKUPS!$K$2:$L$10,2,FALSE),"UNK")&amp;"_"&amp;IFERROR(VLOOKUP(C148,LOOKUPS!$N$2:$O$10,2,FALSE),"UNK")&amp;"_"&amp;UPPER(L148))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9"/>
        <v/>
      </c>
      <c r="B149" s="3"/>
      <c r="C149" s="3"/>
      <c r="D149" s="3"/>
      <c r="E149" s="3"/>
      <c r="F149" s="3"/>
      <c r="G149" s="3"/>
      <c r="H149" s="3"/>
      <c r="I149" s="3" t="str">
        <f t="shared" si="8"/>
        <v/>
      </c>
      <c r="J149" s="3"/>
      <c r="K149" s="3"/>
      <c r="L149" s="3"/>
      <c r="M149" s="3" t="str">
        <f>IF(B149="","","LIST"&amp;"_"&amp;IFERROR(VLOOKUP(B149,LOOKUPS!$K$2:$L$10,2,FALSE),"UNK")&amp;"_"&amp;IFERROR(VLOOKUP(C149,LOOKUPS!$N$2:$O$10,2,FALSE),"UNK")&amp;"_"&amp;UPPER(L149))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9"/>
        <v/>
      </c>
      <c r="B150" s="3"/>
      <c r="C150" s="3"/>
      <c r="D150" s="3"/>
      <c r="E150" s="3"/>
      <c r="F150" s="3"/>
      <c r="G150" s="3"/>
      <c r="H150" s="3"/>
      <c r="I150" s="3" t="str">
        <f t="shared" si="8"/>
        <v/>
      </c>
      <c r="J150" s="3"/>
      <c r="K150" s="3"/>
      <c r="L150" s="3"/>
      <c r="M150" s="3" t="str">
        <f>IF(B150="","","LIST"&amp;"_"&amp;IFERROR(VLOOKUP(B150,LOOKUPS!$K$2:$L$10,2,FALSE),"UNK")&amp;"_"&amp;IFERROR(VLOOKUP(C150,LOOKUPS!$N$2:$O$10,2,FALSE),"UNK")&amp;"_"&amp;UPPER(L150))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9"/>
        <v/>
      </c>
      <c r="B151" s="3"/>
      <c r="C151" s="3"/>
      <c r="D151" s="3"/>
      <c r="E151" s="3"/>
      <c r="F151" s="3"/>
      <c r="G151" s="3"/>
      <c r="H151" s="3"/>
      <c r="I151" s="3" t="str">
        <f t="shared" si="8"/>
        <v/>
      </c>
      <c r="J151" s="3"/>
      <c r="K151" s="3"/>
      <c r="L151" s="3"/>
      <c r="M151" s="3" t="str">
        <f>IF(B151="","","LIST"&amp;"_"&amp;IFERROR(VLOOKUP(B151,LOOKUPS!$K$2:$L$10,2,FALSE),"UNK")&amp;"_"&amp;IFERROR(VLOOKUP(C151,LOOKUPS!$N$2:$O$10,2,FALSE),"UNK")&amp;"_"&amp;UPPER(L151))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9"/>
        <v/>
      </c>
      <c r="B152" s="3"/>
      <c r="C152" s="3"/>
      <c r="D152" s="3"/>
      <c r="E152" s="3"/>
      <c r="F152" s="3"/>
      <c r="G152" s="3"/>
      <c r="H152" s="3"/>
      <c r="I152" s="3" t="str">
        <f t="shared" si="8"/>
        <v/>
      </c>
      <c r="J152" s="3"/>
      <c r="K152" s="3"/>
      <c r="L152" s="3"/>
      <c r="M152" s="3" t="str">
        <f>IF(B152="","","LIST"&amp;"_"&amp;IFERROR(VLOOKUP(B152,LOOKUPS!$K$2:$L$10,2,FALSE),"UNK")&amp;"_"&amp;IFERROR(VLOOKUP(C152,LOOKUPS!$N$2:$O$10,2,FALSE),"UNK")&amp;"_"&amp;UPPER(L152))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9"/>
        <v/>
      </c>
      <c r="B153" s="3"/>
      <c r="C153" s="3"/>
      <c r="D153" s="3"/>
      <c r="E153" s="3"/>
      <c r="F153" s="3"/>
      <c r="G153" s="3"/>
      <c r="H153" s="3"/>
      <c r="I153" s="3" t="str">
        <f t="shared" si="8"/>
        <v/>
      </c>
      <c r="J153" s="3"/>
      <c r="K153" s="3"/>
      <c r="L153" s="3"/>
      <c r="M153" s="3" t="str">
        <f>IF(B153="","","LIST"&amp;"_"&amp;IFERROR(VLOOKUP(B153,LOOKUPS!$K$2:$L$10,2,FALSE),"UNK")&amp;"_"&amp;IFERROR(VLOOKUP(C153,LOOKUPS!$N$2:$O$10,2,FALSE),"UNK")&amp;"_"&amp;UPPER(L153))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9"/>
        <v/>
      </c>
      <c r="B154" s="3"/>
      <c r="C154" s="3"/>
      <c r="D154" s="3"/>
      <c r="E154" s="3"/>
      <c r="F154" s="3"/>
      <c r="G154" s="3"/>
      <c r="H154" s="3"/>
      <c r="I154" s="3" t="str">
        <f t="shared" si="8"/>
        <v/>
      </c>
      <c r="J154" s="3"/>
      <c r="K154" s="3"/>
      <c r="L154" s="3"/>
      <c r="M154" s="3" t="str">
        <f>IF(B154="","","LIST"&amp;"_"&amp;IFERROR(VLOOKUP(B154,LOOKUPS!$K$2:$L$10,2,FALSE),"UNK")&amp;"_"&amp;IFERROR(VLOOKUP(C154,LOOKUPS!$N$2:$O$10,2,FALSE),"UNK")&amp;"_"&amp;UPPER(L154))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9"/>
        <v/>
      </c>
      <c r="B155" s="3"/>
      <c r="C155" s="3"/>
      <c r="D155" s="3"/>
      <c r="E155" s="3"/>
      <c r="F155" s="3"/>
      <c r="G155" s="3"/>
      <c r="H155" s="3"/>
      <c r="I155" s="3" t="str">
        <f t="shared" si="8"/>
        <v/>
      </c>
      <c r="J155" s="3"/>
      <c r="K155" s="3"/>
      <c r="L155" s="3"/>
      <c r="M155" s="3" t="str">
        <f>IF(B155="","","LIST"&amp;"_"&amp;IFERROR(VLOOKUP(B155,LOOKUPS!$K$2:$L$10,2,FALSE),"UNK")&amp;"_"&amp;IFERROR(VLOOKUP(C155,LOOKUPS!$N$2:$O$10,2,FALSE),"UNK")&amp;"_"&amp;UPPER(L155))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9"/>
        <v/>
      </c>
      <c r="B156" s="3"/>
      <c r="C156" s="3"/>
      <c r="D156" s="3"/>
      <c r="E156" s="3"/>
      <c r="F156" s="3"/>
      <c r="G156" s="3"/>
      <c r="H156" s="3"/>
      <c r="I156" s="3" t="str">
        <f t="shared" si="8"/>
        <v/>
      </c>
      <c r="J156" s="3"/>
      <c r="K156" s="3"/>
      <c r="L156" s="3"/>
      <c r="M156" s="3" t="str">
        <f>IF(B156="","","LIST"&amp;"_"&amp;IFERROR(VLOOKUP(B156,LOOKUPS!$K$2:$L$10,2,FALSE),"UNK")&amp;"_"&amp;IFERROR(VLOOKUP(C156,LOOKUPS!$N$2:$O$10,2,FALSE),"UNK")&amp;"_"&amp;UPPER(L156))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9"/>
        <v/>
      </c>
      <c r="B157" s="3"/>
      <c r="C157" s="3"/>
      <c r="D157" s="3"/>
      <c r="E157" s="3"/>
      <c r="F157" s="3"/>
      <c r="G157" s="3"/>
      <c r="H157" s="3"/>
      <c r="I157" s="3" t="str">
        <f t="shared" si="8"/>
        <v/>
      </c>
      <c r="J157" s="3"/>
      <c r="K157" s="3"/>
      <c r="L157" s="3"/>
      <c r="M157" s="3" t="str">
        <f>IF(B157="","","LIST"&amp;"_"&amp;IFERROR(VLOOKUP(B157,LOOKUPS!$K$2:$L$10,2,FALSE),"UNK")&amp;"_"&amp;IFERROR(VLOOKUP(C157,LOOKUPS!$N$2:$O$10,2,FALSE),"UNK")&amp;"_"&amp;UPPER(L157))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9"/>
        <v/>
      </c>
      <c r="B158" s="3"/>
      <c r="C158" s="3"/>
      <c r="D158" s="3"/>
      <c r="E158" s="3"/>
      <c r="F158" s="3"/>
      <c r="G158" s="3"/>
      <c r="H158" s="3"/>
      <c r="I158" s="3" t="str">
        <f t="shared" si="8"/>
        <v/>
      </c>
      <c r="J158" s="3"/>
      <c r="K158" s="3"/>
      <c r="L158" s="3"/>
      <c r="M158" s="3" t="str">
        <f>IF(B158="","","LIST"&amp;"_"&amp;IFERROR(VLOOKUP(B158,LOOKUPS!$K$2:$L$10,2,FALSE),"UNK")&amp;"_"&amp;IFERROR(VLOOKUP(C158,LOOKUPS!$N$2:$O$10,2,FALSE),"UNK")&amp;"_"&amp;UPPER(L158))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9"/>
        <v/>
      </c>
      <c r="B159" s="3"/>
      <c r="C159" s="3"/>
      <c r="D159" s="3"/>
      <c r="E159" s="3"/>
      <c r="F159" s="3"/>
      <c r="G159" s="3"/>
      <c r="H159" s="3"/>
      <c r="I159" s="3" t="str">
        <f t="shared" si="8"/>
        <v/>
      </c>
      <c r="J159" s="3"/>
      <c r="K159" s="3"/>
      <c r="L159" s="3"/>
      <c r="M159" s="3" t="str">
        <f>IF(B159="","","LIST"&amp;"_"&amp;IFERROR(VLOOKUP(B159,LOOKUPS!$K$2:$L$10,2,FALSE),"UNK")&amp;"_"&amp;IFERROR(VLOOKUP(C159,LOOKUPS!$N$2:$O$10,2,FALSE),"UNK")&amp;"_"&amp;UPPER(L159))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9"/>
        <v/>
      </c>
      <c r="B160" s="3"/>
      <c r="C160" s="3"/>
      <c r="D160" s="3"/>
      <c r="E160" s="3"/>
      <c r="F160" s="3"/>
      <c r="G160" s="3"/>
      <c r="H160" s="3"/>
      <c r="I160" s="3" t="str">
        <f t="shared" si="8"/>
        <v/>
      </c>
      <c r="J160" s="3"/>
      <c r="K160" s="3"/>
      <c r="L160" s="3"/>
      <c r="M160" s="3" t="str">
        <f>IF(B160="","","LIST"&amp;"_"&amp;IFERROR(VLOOKUP(B160,LOOKUPS!$K$2:$L$10,2,FALSE),"UNK")&amp;"_"&amp;IFERROR(VLOOKUP(C160,LOOKUPS!$N$2:$O$10,2,FALSE),"UNK")&amp;"_"&amp;UPPER(L160))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9"/>
        <v/>
      </c>
      <c r="B161" s="3"/>
      <c r="C161" s="3"/>
      <c r="D161" s="3"/>
      <c r="E161" s="3"/>
      <c r="F161" s="3"/>
      <c r="G161" s="3"/>
      <c r="H161" s="3"/>
      <c r="I161" s="3" t="str">
        <f t="shared" si="8"/>
        <v/>
      </c>
      <c r="J161" s="3"/>
      <c r="K161" s="3"/>
      <c r="L161" s="3"/>
      <c r="M161" s="3" t="str">
        <f>IF(B161="","","LIST"&amp;"_"&amp;IFERROR(VLOOKUP(B161,LOOKUPS!$K$2:$L$10,2,FALSE),"UNK")&amp;"_"&amp;IFERROR(VLOOKUP(C161,LOOKUPS!$N$2:$O$10,2,FALSE),"UNK")&amp;"_"&amp;UPPER(L161))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9"/>
        <v/>
      </c>
      <c r="B162" s="3"/>
      <c r="C162" s="3"/>
      <c r="D162" s="3"/>
      <c r="E162" s="3"/>
      <c r="F162" s="3"/>
      <c r="G162" s="3"/>
      <c r="H162" s="3"/>
      <c r="I162" s="3" t="str">
        <f t="shared" si="8"/>
        <v/>
      </c>
      <c r="J162" s="3"/>
      <c r="K162" s="3"/>
      <c r="L162" s="3"/>
      <c r="M162" s="3" t="str">
        <f>IF(B162="","","LIST"&amp;"_"&amp;IFERROR(VLOOKUP(B162,LOOKUPS!$K$2:$L$10,2,FALSE),"UNK")&amp;"_"&amp;IFERROR(VLOOKUP(C162,LOOKUPS!$N$2:$O$10,2,FALSE),"UNK")&amp;"_"&amp;UPPER(L162))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9"/>
        <v/>
      </c>
      <c r="B163" s="3"/>
      <c r="C163" s="3"/>
      <c r="D163" s="3"/>
      <c r="E163" s="3"/>
      <c r="F163" s="3"/>
      <c r="G163" s="3"/>
      <c r="H163" s="3"/>
      <c r="I163" s="3" t="str">
        <f t="shared" si="8"/>
        <v/>
      </c>
      <c r="J163" s="3"/>
      <c r="K163" s="3"/>
      <c r="L163" s="3"/>
      <c r="M163" s="3" t="str">
        <f>IF(B163="","","LIST"&amp;"_"&amp;IFERROR(VLOOKUP(B163,LOOKUPS!$K$2:$L$10,2,FALSE),"UNK")&amp;"_"&amp;IFERROR(VLOOKUP(C163,LOOKUPS!$N$2:$O$10,2,FALSE),"UNK")&amp;"_"&amp;UPPER(L163))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9"/>
        <v/>
      </c>
      <c r="B164" s="3"/>
      <c r="C164" s="3"/>
      <c r="D164" s="3"/>
      <c r="E164" s="3"/>
      <c r="F164" s="3"/>
      <c r="G164" s="3"/>
      <c r="H164" s="3"/>
      <c r="I164" s="3" t="str">
        <f t="shared" si="8"/>
        <v/>
      </c>
      <c r="J164" s="3"/>
      <c r="K164" s="3"/>
      <c r="L164" s="3"/>
      <c r="M164" s="3" t="str">
        <f>IF(B164="","","LIST"&amp;"_"&amp;IFERROR(VLOOKUP(B164,LOOKUPS!$K$2:$L$10,2,FALSE),"UNK")&amp;"_"&amp;IFERROR(VLOOKUP(C164,LOOKUPS!$N$2:$O$10,2,FALSE),"UNK")&amp;"_"&amp;UPPER(L164))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9"/>
        <v/>
      </c>
      <c r="B165" s="3"/>
      <c r="C165" s="3"/>
      <c r="D165" s="3"/>
      <c r="E165" s="3"/>
      <c r="F165" s="3"/>
      <c r="G165" s="3"/>
      <c r="H165" s="3"/>
      <c r="I165" s="3" t="str">
        <f t="shared" si="8"/>
        <v/>
      </c>
      <c r="J165" s="3"/>
      <c r="K165" s="3"/>
      <c r="L165" s="3"/>
      <c r="M165" s="3" t="str">
        <f>IF(B165="","","LIST"&amp;"_"&amp;IFERROR(VLOOKUP(B165,LOOKUPS!$K$2:$L$10,2,FALSE),"UNK")&amp;"_"&amp;IFERROR(VLOOKUP(C165,LOOKUPS!$N$2:$O$10,2,FALSE),"UNK")&amp;"_"&amp;UPPER(L165))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9"/>
        <v/>
      </c>
      <c r="B166" s="3"/>
      <c r="C166" s="3"/>
      <c r="D166" s="3"/>
      <c r="E166" s="3"/>
      <c r="F166" s="3"/>
      <c r="G166" s="3"/>
      <c r="H166" s="3"/>
      <c r="I166" s="3" t="str">
        <f t="shared" si="8"/>
        <v/>
      </c>
      <c r="J166" s="3"/>
      <c r="K166" s="3"/>
      <c r="L166" s="3"/>
      <c r="M166" s="3" t="str">
        <f>IF(B166="","","LIST"&amp;"_"&amp;IFERROR(VLOOKUP(B166,LOOKUPS!$K$2:$L$10,2,FALSE),"UNK")&amp;"_"&amp;IFERROR(VLOOKUP(C166,LOOKUPS!$N$2:$O$10,2,FALSE),"UNK")&amp;"_"&amp;UPPER(L166))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9"/>
        <v/>
      </c>
      <c r="B167" s="3"/>
      <c r="C167" s="3"/>
      <c r="D167" s="3"/>
      <c r="E167" s="3"/>
      <c r="F167" s="3"/>
      <c r="G167" s="3"/>
      <c r="H167" s="3"/>
      <c r="I167" s="3" t="str">
        <f t="shared" si="8"/>
        <v/>
      </c>
      <c r="J167" s="3"/>
      <c r="K167" s="3"/>
      <c r="L167" s="3"/>
      <c r="M167" s="3" t="str">
        <f>IF(B167="","","LIST"&amp;"_"&amp;IFERROR(VLOOKUP(B167,LOOKUPS!$K$2:$L$10,2,FALSE),"UNK")&amp;"_"&amp;IFERROR(VLOOKUP(C167,LOOKUPS!$N$2:$O$10,2,FALSE),"UNK")&amp;"_"&amp;UPPER(L167))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9"/>
        <v/>
      </c>
      <c r="B168" s="3"/>
      <c r="C168" s="3"/>
      <c r="D168" s="3"/>
      <c r="E168" s="3"/>
      <c r="F168" s="3"/>
      <c r="G168" s="3"/>
      <c r="H168" s="3"/>
      <c r="I168" s="3" t="str">
        <f t="shared" si="8"/>
        <v/>
      </c>
      <c r="J168" s="3"/>
      <c r="K168" s="3"/>
      <c r="L168" s="3"/>
      <c r="M168" s="3" t="str">
        <f>IF(B168="","","LIST"&amp;"_"&amp;IFERROR(VLOOKUP(B168,LOOKUPS!$K$2:$L$10,2,FALSE),"UNK")&amp;"_"&amp;IFERROR(VLOOKUP(C168,LOOKUPS!$N$2:$O$10,2,FALSE),"UNK")&amp;"_"&amp;UPPER(L168))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9"/>
        <v/>
      </c>
      <c r="B169" s="3"/>
      <c r="C169" s="3"/>
      <c r="D169" s="3"/>
      <c r="E169" s="3"/>
      <c r="F169" s="3"/>
      <c r="G169" s="3"/>
      <c r="H169" s="3"/>
      <c r="I169" s="3" t="str">
        <f t="shared" si="8"/>
        <v/>
      </c>
      <c r="J169" s="3"/>
      <c r="K169" s="3"/>
      <c r="L169" s="3"/>
      <c r="M169" s="3" t="str">
        <f>IF(B169="","","LIST"&amp;"_"&amp;IFERROR(VLOOKUP(B169,LOOKUPS!$K$2:$L$10,2,FALSE),"UNK")&amp;"_"&amp;IFERROR(VLOOKUP(C169,LOOKUPS!$N$2:$O$10,2,FALSE),"UNK")&amp;"_"&amp;UPPER(L169))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9"/>
        <v/>
      </c>
      <c r="B170" s="3"/>
      <c r="C170" s="3"/>
      <c r="D170" s="3"/>
      <c r="E170" s="3"/>
      <c r="F170" s="3"/>
      <c r="G170" s="3"/>
      <c r="H170" s="3"/>
      <c r="I170" s="3" t="str">
        <f t="shared" si="8"/>
        <v/>
      </c>
      <c r="J170" s="3"/>
      <c r="K170" s="3"/>
      <c r="L170" s="3"/>
      <c r="M170" s="3" t="str">
        <f>IF(B170="","","LIST"&amp;"_"&amp;IFERROR(VLOOKUP(B170,LOOKUPS!$K$2:$L$10,2,FALSE),"UNK")&amp;"_"&amp;IFERROR(VLOOKUP(C170,LOOKUPS!$N$2:$O$10,2,FALSE),"UNK")&amp;"_"&amp;UPPER(L170))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9"/>
        <v/>
      </c>
      <c r="B171" s="3"/>
      <c r="C171" s="3"/>
      <c r="D171" s="3"/>
      <c r="E171" s="3"/>
      <c r="F171" s="3"/>
      <c r="G171" s="3"/>
      <c r="H171" s="3"/>
      <c r="I171" s="3" t="str">
        <f t="shared" si="8"/>
        <v/>
      </c>
      <c r="J171" s="3"/>
      <c r="K171" s="3"/>
      <c r="L171" s="3"/>
      <c r="M171" s="3" t="str">
        <f>IF(B171="","","LIST"&amp;"_"&amp;IFERROR(VLOOKUP(B171,LOOKUPS!$K$2:$L$10,2,FALSE),"UNK")&amp;"_"&amp;IFERROR(VLOOKUP(C171,LOOKUPS!$N$2:$O$10,2,FALSE),"UNK")&amp;"_"&amp;UPPER(L171))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9"/>
        <v/>
      </c>
      <c r="B172" s="3"/>
      <c r="C172" s="3"/>
      <c r="D172" s="3"/>
      <c r="E172" s="3"/>
      <c r="F172" s="3"/>
      <c r="G172" s="3"/>
      <c r="H172" s="3"/>
      <c r="I172" s="3" t="str">
        <f t="shared" ref="I172:I200" si="10">IFERROR(_xlfn.TEXTJOIN("_",TRUE,_xlfn.TEXTSPLIT(D172," ",,TRUE)),"")</f>
        <v/>
      </c>
      <c r="J172" s="3"/>
      <c r="K172" s="3"/>
      <c r="L172" s="3"/>
      <c r="M172" s="3" t="str">
        <f>IF(B172="","","LIST"&amp;"_"&amp;IFERROR(VLOOKUP(B172,LOOKUPS!$K$2:$L$10,2,FALSE),"UNK")&amp;"_"&amp;IFERROR(VLOOKUP(C172,LOOKUPS!$N$2:$O$10,2,FALSE),"UNK")&amp;"_"&amp;UPPER(L172))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9"/>
        <v/>
      </c>
      <c r="B173" s="3"/>
      <c r="C173" s="3"/>
      <c r="D173" s="3"/>
      <c r="E173" s="3"/>
      <c r="F173" s="3"/>
      <c r="G173" s="3"/>
      <c r="H173" s="3"/>
      <c r="I173" s="3" t="str">
        <f t="shared" si="10"/>
        <v/>
      </c>
      <c r="J173" s="3"/>
      <c r="K173" s="3"/>
      <c r="L173" s="3"/>
      <c r="M173" s="3" t="str">
        <f>IF(B173="","","LIST"&amp;"_"&amp;IFERROR(VLOOKUP(B173,LOOKUPS!$K$2:$L$10,2,FALSE),"UNK")&amp;"_"&amp;IFERROR(VLOOKUP(C173,LOOKUPS!$N$2:$O$10,2,FALSE),"UNK")&amp;"_"&amp;UPPER(L173))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9"/>
        <v/>
      </c>
      <c r="B174" s="3"/>
      <c r="C174" s="3"/>
      <c r="D174" s="3"/>
      <c r="E174" s="3"/>
      <c r="F174" s="3"/>
      <c r="G174" s="3"/>
      <c r="H174" s="3"/>
      <c r="I174" s="3" t="str">
        <f t="shared" si="10"/>
        <v/>
      </c>
      <c r="J174" s="3"/>
      <c r="K174" s="3"/>
      <c r="L174" s="3"/>
      <c r="M174" s="3" t="str">
        <f>IF(B174="","","LIST"&amp;"_"&amp;IFERROR(VLOOKUP(B174,LOOKUPS!$K$2:$L$10,2,FALSE),"UNK")&amp;"_"&amp;IFERROR(VLOOKUP(C174,LOOKUPS!$N$2:$O$10,2,FALSE),"UNK")&amp;"_"&amp;UPPER(L174))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9"/>
        <v/>
      </c>
      <c r="B175" s="3"/>
      <c r="C175" s="3"/>
      <c r="D175" s="3"/>
      <c r="E175" s="3"/>
      <c r="F175" s="3"/>
      <c r="G175" s="3"/>
      <c r="H175" s="3"/>
      <c r="I175" s="3" t="str">
        <f t="shared" si="10"/>
        <v/>
      </c>
      <c r="J175" s="3"/>
      <c r="K175" s="3"/>
      <c r="L175" s="3"/>
      <c r="M175" s="3" t="str">
        <f>IF(B175="","","LIST"&amp;"_"&amp;IFERROR(VLOOKUP(B175,LOOKUPS!$K$2:$L$10,2,FALSE),"UNK")&amp;"_"&amp;IFERROR(VLOOKUP(C175,LOOKUPS!$N$2:$O$10,2,FALSE),"UNK")&amp;"_"&amp;UPPER(L175))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9"/>
        <v/>
      </c>
      <c r="B176" s="3"/>
      <c r="C176" s="3"/>
      <c r="D176" s="3"/>
      <c r="E176" s="3"/>
      <c r="F176" s="3"/>
      <c r="G176" s="3"/>
      <c r="H176" s="3"/>
      <c r="I176" s="3" t="str">
        <f t="shared" si="10"/>
        <v/>
      </c>
      <c r="J176" s="3"/>
      <c r="K176" s="3"/>
      <c r="L176" s="3"/>
      <c r="M176" s="3" t="str">
        <f>IF(B176="","","LIST"&amp;"_"&amp;IFERROR(VLOOKUP(B176,LOOKUPS!$K$2:$L$10,2,FALSE),"UNK")&amp;"_"&amp;IFERROR(VLOOKUP(C176,LOOKUPS!$N$2:$O$10,2,FALSE),"UNK")&amp;"_"&amp;UPPER(L176))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9"/>
        <v/>
      </c>
      <c r="B177" s="3"/>
      <c r="C177" s="3"/>
      <c r="D177" s="3"/>
      <c r="E177" s="3"/>
      <c r="F177" s="3"/>
      <c r="G177" s="3"/>
      <c r="H177" s="3"/>
      <c r="I177" s="3" t="str">
        <f t="shared" si="10"/>
        <v/>
      </c>
      <c r="J177" s="3"/>
      <c r="K177" s="3"/>
      <c r="L177" s="3"/>
      <c r="M177" s="3" t="str">
        <f>IF(B177="","","LIST"&amp;"_"&amp;IFERROR(VLOOKUP(B177,LOOKUPS!$K$2:$L$10,2,FALSE),"UNK")&amp;"_"&amp;IFERROR(VLOOKUP(C177,LOOKUPS!$N$2:$O$10,2,FALSE),"UNK")&amp;"_"&amp;UPPER(L177))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9"/>
        <v/>
      </c>
      <c r="B178" s="3"/>
      <c r="C178" s="3"/>
      <c r="D178" s="3"/>
      <c r="E178" s="3"/>
      <c r="F178" s="3"/>
      <c r="G178" s="3"/>
      <c r="H178" s="3"/>
      <c r="I178" s="3" t="str">
        <f t="shared" si="10"/>
        <v/>
      </c>
      <c r="J178" s="3"/>
      <c r="K178" s="3"/>
      <c r="L178" s="3"/>
      <c r="M178" s="3" t="str">
        <f>IF(B178="","","LIST"&amp;"_"&amp;IFERROR(VLOOKUP(B178,LOOKUPS!$K$2:$L$10,2,FALSE),"UNK")&amp;"_"&amp;IFERROR(VLOOKUP(C178,LOOKUPS!$N$2:$O$10,2,FALSE),"UNK")&amp;"_"&amp;UPPER(L178))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9"/>
        <v/>
      </c>
      <c r="B179" s="3"/>
      <c r="C179" s="3"/>
      <c r="D179" s="3"/>
      <c r="E179" s="3"/>
      <c r="F179" s="3"/>
      <c r="G179" s="3"/>
      <c r="H179" s="3"/>
      <c r="I179" s="3" t="str">
        <f t="shared" si="10"/>
        <v/>
      </c>
      <c r="J179" s="3"/>
      <c r="K179" s="3"/>
      <c r="L179" s="3"/>
      <c r="M179" s="3" t="str">
        <f>IF(B179="","","LIST"&amp;"_"&amp;IFERROR(VLOOKUP(B179,LOOKUPS!$K$2:$L$10,2,FALSE),"UNK")&amp;"_"&amp;IFERROR(VLOOKUP(C179,LOOKUPS!$N$2:$O$10,2,FALSE),"UNK")&amp;"_"&amp;UPPER(L179))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9"/>
        <v/>
      </c>
      <c r="B180" s="3"/>
      <c r="C180" s="3"/>
      <c r="D180" s="3"/>
      <c r="E180" s="3"/>
      <c r="F180" s="3"/>
      <c r="G180" s="3"/>
      <c r="H180" s="3"/>
      <c r="I180" s="3" t="str">
        <f t="shared" si="10"/>
        <v/>
      </c>
      <c r="J180" s="3"/>
      <c r="K180" s="3"/>
      <c r="L180" s="3"/>
      <c r="M180" s="3" t="str">
        <f>IF(B180="","","LIST"&amp;"_"&amp;IFERROR(VLOOKUP(B180,LOOKUPS!$K$2:$L$10,2,FALSE),"UNK")&amp;"_"&amp;IFERROR(VLOOKUP(C180,LOOKUPS!$N$2:$O$10,2,FALSE),"UNK")&amp;"_"&amp;UPPER(L180))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9"/>
        <v/>
      </c>
      <c r="B181" s="3"/>
      <c r="C181" s="3"/>
      <c r="D181" s="3"/>
      <c r="E181" s="3"/>
      <c r="F181" s="3"/>
      <c r="G181" s="3"/>
      <c r="H181" s="3"/>
      <c r="I181" s="3" t="str">
        <f t="shared" si="10"/>
        <v/>
      </c>
      <c r="J181" s="3"/>
      <c r="K181" s="3"/>
      <c r="L181" s="3"/>
      <c r="M181" s="3" t="str">
        <f>IF(B181="","","LIST"&amp;"_"&amp;IFERROR(VLOOKUP(B181,LOOKUPS!$K$2:$L$10,2,FALSE),"UNK")&amp;"_"&amp;IFERROR(VLOOKUP(C181,LOOKUPS!$N$2:$O$10,2,FALSE),"UNK")&amp;"_"&amp;UPPER(L181))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9"/>
        <v/>
      </c>
      <c r="B182" s="3"/>
      <c r="C182" s="3"/>
      <c r="D182" s="3"/>
      <c r="E182" s="3"/>
      <c r="F182" s="3"/>
      <c r="G182" s="3"/>
      <c r="H182" s="3"/>
      <c r="I182" s="3" t="str">
        <f t="shared" si="10"/>
        <v/>
      </c>
      <c r="J182" s="3"/>
      <c r="K182" s="3"/>
      <c r="L182" s="3"/>
      <c r="M182" s="3" t="str">
        <f>IF(B182="","","LIST"&amp;"_"&amp;IFERROR(VLOOKUP(B182,LOOKUPS!$K$2:$L$10,2,FALSE),"UNK")&amp;"_"&amp;IFERROR(VLOOKUP(C182,LOOKUPS!$N$2:$O$10,2,FALSE),"UNK")&amp;"_"&amp;UPPER(L182))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9"/>
        <v/>
      </c>
      <c r="B183" s="3"/>
      <c r="C183" s="3"/>
      <c r="D183" s="3"/>
      <c r="E183" s="3"/>
      <c r="F183" s="3"/>
      <c r="G183" s="3"/>
      <c r="H183" s="3"/>
      <c r="I183" s="3" t="str">
        <f t="shared" si="10"/>
        <v/>
      </c>
      <c r="J183" s="3"/>
      <c r="K183" s="3"/>
      <c r="L183" s="3"/>
      <c r="M183" s="3" t="str">
        <f>IF(B183="","","LIST"&amp;"_"&amp;IFERROR(VLOOKUP(B183,LOOKUPS!$K$2:$L$10,2,FALSE),"UNK")&amp;"_"&amp;IFERROR(VLOOKUP(C183,LOOKUPS!$N$2:$O$10,2,FALSE),"UNK")&amp;"_"&amp;UPPER(L183))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9"/>
        <v/>
      </c>
      <c r="B184" s="3"/>
      <c r="C184" s="3"/>
      <c r="D184" s="3"/>
      <c r="E184" s="3"/>
      <c r="F184" s="3"/>
      <c r="G184" s="3"/>
      <c r="H184" s="3"/>
      <c r="I184" s="3" t="str">
        <f t="shared" si="10"/>
        <v/>
      </c>
      <c r="J184" s="3"/>
      <c r="K184" s="3"/>
      <c r="L184" s="3"/>
      <c r="M184" s="3" t="str">
        <f>IF(B184="","","LIST"&amp;"_"&amp;IFERROR(VLOOKUP(B184,LOOKUPS!$K$2:$L$10,2,FALSE),"UNK")&amp;"_"&amp;IFERROR(VLOOKUP(C184,LOOKUPS!$N$2:$O$10,2,FALSE),"UNK")&amp;"_"&amp;UPPER(L184))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9"/>
        <v/>
      </c>
      <c r="B185" s="3"/>
      <c r="C185" s="3"/>
      <c r="D185" s="3"/>
      <c r="E185" s="3"/>
      <c r="F185" s="3"/>
      <c r="G185" s="3"/>
      <c r="H185" s="3"/>
      <c r="I185" s="3" t="str">
        <f t="shared" si="10"/>
        <v/>
      </c>
      <c r="J185" s="3"/>
      <c r="K185" s="3"/>
      <c r="L185" s="3"/>
      <c r="M185" s="3" t="str">
        <f>IF(B185="","","LIST"&amp;"_"&amp;IFERROR(VLOOKUP(B185,LOOKUPS!$K$2:$L$10,2,FALSE),"UNK")&amp;"_"&amp;IFERROR(VLOOKUP(C185,LOOKUPS!$N$2:$O$10,2,FALSE),"UNK")&amp;"_"&amp;UPPER(L185))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9"/>
        <v/>
      </c>
      <c r="B186" s="3"/>
      <c r="C186" s="3"/>
      <c r="D186" s="3"/>
      <c r="E186" s="3"/>
      <c r="F186" s="3"/>
      <c r="G186" s="3"/>
      <c r="H186" s="3"/>
      <c r="I186" s="3" t="str">
        <f t="shared" si="10"/>
        <v/>
      </c>
      <c r="J186" s="3"/>
      <c r="K186" s="3"/>
      <c r="L186" s="3"/>
      <c r="M186" s="3" t="str">
        <f>IF(B186="","","LIST"&amp;"_"&amp;IFERROR(VLOOKUP(B186,LOOKUPS!$K$2:$L$10,2,FALSE),"UNK")&amp;"_"&amp;IFERROR(VLOOKUP(C186,LOOKUPS!$N$2:$O$10,2,FALSE),"UNK")&amp;"_"&amp;UPPER(L186))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9"/>
        <v/>
      </c>
      <c r="B187" s="3"/>
      <c r="C187" s="3"/>
      <c r="D187" s="3"/>
      <c r="E187" s="3"/>
      <c r="F187" s="3"/>
      <c r="G187" s="3"/>
      <c r="H187" s="3"/>
      <c r="I187" s="3" t="str">
        <f t="shared" si="10"/>
        <v/>
      </c>
      <c r="J187" s="3"/>
      <c r="K187" s="3"/>
      <c r="L187" s="3"/>
      <c r="M187" s="3" t="str">
        <f>IF(B187="","","LIST"&amp;"_"&amp;IFERROR(VLOOKUP(B187,LOOKUPS!$K$2:$L$10,2,FALSE),"UNK")&amp;"_"&amp;IFERROR(VLOOKUP(C187,LOOKUPS!$N$2:$O$10,2,FALSE),"UNK")&amp;"_"&amp;UPPER(L187))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9"/>
        <v/>
      </c>
      <c r="B188" s="3"/>
      <c r="C188" s="3"/>
      <c r="D188" s="3"/>
      <c r="E188" s="3"/>
      <c r="F188" s="3"/>
      <c r="G188" s="3"/>
      <c r="H188" s="3"/>
      <c r="I188" s="3" t="str">
        <f t="shared" si="10"/>
        <v/>
      </c>
      <c r="J188" s="3"/>
      <c r="K188" s="3"/>
      <c r="L188" s="3"/>
      <c r="M188" s="3" t="str">
        <f>IF(B188="","","LIST"&amp;"_"&amp;IFERROR(VLOOKUP(B188,LOOKUPS!$K$2:$L$10,2,FALSE),"UNK")&amp;"_"&amp;IFERROR(VLOOKUP(C188,LOOKUPS!$N$2:$O$10,2,FALSE),"UNK")&amp;"_"&amp;UPPER(L188))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9"/>
        <v/>
      </c>
      <c r="B189" s="3"/>
      <c r="C189" s="3"/>
      <c r="D189" s="3"/>
      <c r="E189" s="3"/>
      <c r="F189" s="3"/>
      <c r="G189" s="3"/>
      <c r="H189" s="3"/>
      <c r="I189" s="3" t="str">
        <f t="shared" si="10"/>
        <v/>
      </c>
      <c r="J189" s="3"/>
      <c r="K189" s="3"/>
      <c r="L189" s="3"/>
      <c r="M189" s="3" t="str">
        <f>IF(B189="","","LIST"&amp;"_"&amp;IFERROR(VLOOKUP(B189,LOOKUPS!$K$2:$L$10,2,FALSE),"UNK")&amp;"_"&amp;IFERROR(VLOOKUP(C189,LOOKUPS!$N$2:$O$10,2,FALSE),"UNK")&amp;"_"&amp;UPPER(L189))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9"/>
        <v/>
      </c>
      <c r="B190" s="3"/>
      <c r="C190" s="3"/>
      <c r="D190" s="3"/>
      <c r="E190" s="3"/>
      <c r="F190" s="3"/>
      <c r="G190" s="3"/>
      <c r="H190" s="3"/>
      <c r="I190" s="3" t="str">
        <f t="shared" si="10"/>
        <v/>
      </c>
      <c r="J190" s="3"/>
      <c r="K190" s="3"/>
      <c r="L190" s="3"/>
      <c r="M190" s="3" t="str">
        <f>IF(B190="","","LIST"&amp;"_"&amp;IFERROR(VLOOKUP(B190,LOOKUPS!$K$2:$L$10,2,FALSE),"UNK")&amp;"_"&amp;IFERROR(VLOOKUP(C190,LOOKUPS!$N$2:$O$10,2,FALSE),"UNK")&amp;"_"&amp;UPPER(L190))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9"/>
        <v/>
      </c>
      <c r="B191" s="3"/>
      <c r="C191" s="3"/>
      <c r="D191" s="3"/>
      <c r="E191" s="3"/>
      <c r="F191" s="3"/>
      <c r="G191" s="3"/>
      <c r="H191" s="3"/>
      <c r="I191" s="3" t="str">
        <f t="shared" si="10"/>
        <v/>
      </c>
      <c r="J191" s="3"/>
      <c r="K191" s="3"/>
      <c r="L191" s="3"/>
      <c r="M191" s="3" t="str">
        <f>IF(B191="","","LIST"&amp;"_"&amp;IFERROR(VLOOKUP(B191,LOOKUPS!$K$2:$L$10,2,FALSE),"UNK")&amp;"_"&amp;IFERROR(VLOOKUP(C191,LOOKUPS!$N$2:$O$10,2,FALSE),"UNK")&amp;"_"&amp;UPPER(L191))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9"/>
        <v/>
      </c>
      <c r="B192" s="3"/>
      <c r="C192" s="3"/>
      <c r="D192" s="3"/>
      <c r="E192" s="3"/>
      <c r="F192" s="3"/>
      <c r="G192" s="3"/>
      <c r="H192" s="3"/>
      <c r="I192" s="3" t="str">
        <f t="shared" si="10"/>
        <v/>
      </c>
      <c r="J192" s="3"/>
      <c r="K192" s="3"/>
      <c r="L192" s="3"/>
      <c r="M192" s="3" t="str">
        <f>IF(B192="","","LIST"&amp;"_"&amp;IFERROR(VLOOKUP(B192,LOOKUPS!$K$2:$L$10,2,FALSE),"UNK")&amp;"_"&amp;IFERROR(VLOOKUP(C192,LOOKUPS!$N$2:$O$10,2,FALSE),"UNK")&amp;"_"&amp;UPPER(L192))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9"/>
        <v/>
      </c>
      <c r="B193" s="3"/>
      <c r="C193" s="3"/>
      <c r="D193" s="3"/>
      <c r="E193" s="3"/>
      <c r="F193" s="3"/>
      <c r="G193" s="3"/>
      <c r="H193" s="3"/>
      <c r="I193" s="3" t="str">
        <f t="shared" si="10"/>
        <v/>
      </c>
      <c r="J193" s="3"/>
      <c r="K193" s="3"/>
      <c r="L193" s="3"/>
      <c r="M193" s="3" t="str">
        <f>IF(B193="","","LIST"&amp;"_"&amp;IFERROR(VLOOKUP(B193,LOOKUPS!$K$2:$L$10,2,FALSE),"UNK")&amp;"_"&amp;IFERROR(VLOOKUP(C193,LOOKUPS!$N$2:$O$10,2,FALSE),"UNK")&amp;"_"&amp;UPPER(L193))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ref="A194:A200" si="11">IF(M194="","",M194&amp;"_"&amp;TEXT(N194,"000"))</f>
        <v/>
      </c>
      <c r="B194" s="3"/>
      <c r="C194" s="3"/>
      <c r="D194" s="3"/>
      <c r="E194" s="3"/>
      <c r="F194" s="3"/>
      <c r="G194" s="3"/>
      <c r="H194" s="3"/>
      <c r="I194" s="3" t="str">
        <f t="shared" si="10"/>
        <v/>
      </c>
      <c r="J194" s="3"/>
      <c r="K194" s="3"/>
      <c r="L194" s="3"/>
      <c r="M194" s="3" t="str">
        <f>IF(B194="","","LIST"&amp;"_"&amp;IFERROR(VLOOKUP(B194,LOOKUPS!$K$2:$L$10,2,FALSE),"UNK")&amp;"_"&amp;IFERROR(VLOOKUP(C194,LOOKUPS!$N$2:$O$10,2,FALSE),"UNK")&amp;"_"&amp;UPPER(L194))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si="11"/>
        <v/>
      </c>
      <c r="B195" s="3"/>
      <c r="C195" s="3"/>
      <c r="D195" s="3"/>
      <c r="E195" s="3"/>
      <c r="F195" s="3"/>
      <c r="G195" s="3"/>
      <c r="H195" s="3"/>
      <c r="I195" s="3" t="str">
        <f t="shared" si="10"/>
        <v/>
      </c>
      <c r="J195" s="3"/>
      <c r="K195" s="3"/>
      <c r="L195" s="3"/>
      <c r="M195" s="3" t="str">
        <f>IF(B195="","","LIST"&amp;"_"&amp;IFERROR(VLOOKUP(B195,LOOKUPS!$K$2:$L$10,2,FALSE),"UNK")&amp;"_"&amp;IFERROR(VLOOKUP(C195,LOOKUPS!$N$2:$O$10,2,FALSE),"UNK")&amp;"_"&amp;UPPER(L195))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11"/>
        <v/>
      </c>
      <c r="B196" s="3"/>
      <c r="C196" s="3"/>
      <c r="D196" s="3"/>
      <c r="E196" s="3"/>
      <c r="F196" s="3"/>
      <c r="G196" s="3"/>
      <c r="H196" s="3"/>
      <c r="I196" s="3" t="str">
        <f t="shared" si="10"/>
        <v/>
      </c>
      <c r="J196" s="3"/>
      <c r="K196" s="3"/>
      <c r="L196" s="3"/>
      <c r="M196" s="3" t="str">
        <f>IF(B196="","","LIST"&amp;"_"&amp;IFERROR(VLOOKUP(B196,LOOKUPS!$K$2:$L$10,2,FALSE),"UNK")&amp;"_"&amp;IFERROR(VLOOKUP(C196,LOOKUPS!$N$2:$O$10,2,FALSE),"UNK")&amp;"_"&amp;UPPER(L196))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11"/>
        <v/>
      </c>
      <c r="B197" s="3"/>
      <c r="C197" s="3"/>
      <c r="D197" s="3"/>
      <c r="E197" s="3"/>
      <c r="F197" s="3"/>
      <c r="G197" s="3"/>
      <c r="H197" s="3"/>
      <c r="I197" s="3" t="str">
        <f t="shared" si="10"/>
        <v/>
      </c>
      <c r="J197" s="3"/>
      <c r="K197" s="3"/>
      <c r="L197" s="3"/>
      <c r="M197" s="3" t="str">
        <f>IF(B197="","","LIST"&amp;"_"&amp;IFERROR(VLOOKUP(B197,LOOKUPS!$K$2:$L$10,2,FALSE),"UNK")&amp;"_"&amp;IFERROR(VLOOKUP(C197,LOOKUPS!$N$2:$O$10,2,FALSE),"UNK")&amp;"_"&amp;UPPER(L197))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11"/>
        <v/>
      </c>
      <c r="B198" s="3"/>
      <c r="C198" s="3"/>
      <c r="D198" s="3"/>
      <c r="E198" s="3"/>
      <c r="F198" s="3"/>
      <c r="G198" s="3"/>
      <c r="H198" s="3"/>
      <c r="I198" s="3" t="str">
        <f t="shared" si="10"/>
        <v/>
      </c>
      <c r="J198" s="3"/>
      <c r="K198" s="3"/>
      <c r="L198" s="3"/>
      <c r="M198" s="3" t="str">
        <f>IF(B198="","","LIST"&amp;"_"&amp;IFERROR(VLOOKUP(B198,LOOKUPS!$K$2:$L$10,2,FALSE),"UNK")&amp;"_"&amp;IFERROR(VLOOKUP(C198,LOOKUPS!$N$2:$O$10,2,FALSE),"UNK")&amp;"_"&amp;UPPER(L198))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11"/>
        <v/>
      </c>
      <c r="B199" s="3"/>
      <c r="C199" s="3"/>
      <c r="D199" s="3"/>
      <c r="E199" s="3"/>
      <c r="F199" s="3"/>
      <c r="G199" s="3"/>
      <c r="H199" s="3"/>
      <c r="I199" s="3" t="str">
        <f t="shared" si="10"/>
        <v/>
      </c>
      <c r="J199" s="3"/>
      <c r="K199" s="3"/>
      <c r="L199" s="3"/>
      <c r="M199" s="3" t="str">
        <f>IF(B199="","","LIST"&amp;"_"&amp;IFERROR(VLOOKUP(B199,LOOKUPS!$K$2:$L$10,2,FALSE),"UNK")&amp;"_"&amp;IFERROR(VLOOKUP(C199,LOOKUPS!$N$2:$O$10,2,FALSE),"UNK")&amp;"_"&amp;UPPER(L199))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11"/>
        <v/>
      </c>
      <c r="B200" s="3"/>
      <c r="C200" s="3"/>
      <c r="D200" s="3"/>
      <c r="E200" s="3"/>
      <c r="F200" s="3"/>
      <c r="G200" s="3"/>
      <c r="H200" s="3"/>
      <c r="I200" s="3" t="str">
        <f t="shared" si="10"/>
        <v/>
      </c>
      <c r="J200" s="3"/>
      <c r="K200" s="3"/>
      <c r="L200" s="3"/>
      <c r="M200" s="3" t="str">
        <f>IF(B200="","","LIST"&amp;"_"&amp;IFERROR(VLOOKUP(B200,LOOKUPS!$K$2:$L$10,2,FALSE),"UNK")&amp;"_"&amp;IFERROR(VLOOKUP(C200,LOOKUPS!$N$2:$O$10,2,FALSE),"UNK")&amp;"_"&amp;UPPER(L200))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30 F58: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H7:H30 H58:H1000</xm:sqref>
        </x14:dataValidation>
        <x14:dataValidation type="list" allowBlank="1" showDropDown="1" xr:uid="{00000000-0002-0000-0400-000004000000}">
          <x14:formula1>
            <xm:f>LOOKUPS!$I$2:$I$5</xm:f>
          </x14:formula1>
          <xm:sqref>E2:E5 E7:E30 E58:E1000</xm:sqref>
        </x14:dataValidation>
        <x14:dataValidation type="list" allowBlank="1" xr:uid="{361395C3-3CC4-4CFD-8009-1A70A6383484}">
          <x14:formula1>
            <xm:f>LOOKUPS!$E$2:$E$4</xm:f>
          </x14:formula1>
          <xm:sqref>G2:G5 G7:G30 G58:G200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C7:C30 C33:C200</xm:sqref>
        </x14:dataValidation>
        <x14:dataValidation type="list" allowBlank="1" xr:uid="{00000000-0002-0000-0400-000000000000}">
          <x14:formula1>
            <xm:f>LOOKUPS!$A$2:$A$10</xm:f>
          </x14:formula1>
          <xm:sqref>B2:B5 B33:B1000 B7:B30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opLeftCell="N1" workbookViewId="0">
      <pane ySplit="1" topLeftCell="A3" activePane="bottomLeft" state="frozen"/>
      <selection pane="bottomLeft" activeCell="S3" sqref="S3"/>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IF(B2="","","PF"&amp;"_"&amp;IFERROR(VLOOKUP(B2,LOOKUPS!$K$2:$L$10,2,FALSE),"UNK")&amp;"_"&amp;IFERROR(VLOOKUP(C2,LOOKUPS!$N$2:$O$10,2,FALSE),"UNK")&amp;"_"&amp;UPPER(L2))</f>
        <v>PF_ETH_PF_</v>
      </c>
      <c r="N2" s="3">
        <f>IF(M2="","",COUNTIF($M$2:M2,M2))</f>
        <v>1</v>
      </c>
      <c r="O2" s="3" t="s">
        <v>114</v>
      </c>
      <c r="P2" s="3" t="s">
        <v>154</v>
      </c>
      <c r="Q2" s="3" t="s">
        <v>115</v>
      </c>
      <c r="R2" s="3" t="s">
        <v>116</v>
      </c>
      <c r="S2" s="3" t="s">
        <v>1030</v>
      </c>
      <c r="T2" s="3" t="s">
        <v>812</v>
      </c>
    </row>
    <row r="3" spans="1:32" ht="288" x14ac:dyDescent="0.3">
      <c r="A3" s="3" t="str">
        <f t="shared" ref="A3:A66" si="0">IF(M3="","",M3&amp;"_"&amp;TEXT(N3,"000"))</f>
        <v>PF_ITNIC_PF_IR35_001</v>
      </c>
      <c r="B3" s="3" t="s">
        <v>21</v>
      </c>
      <c r="C3" s="3" t="s">
        <v>35</v>
      </c>
      <c r="D3" s="3" t="s">
        <v>117</v>
      </c>
      <c r="E3" s="3" t="s">
        <v>36</v>
      </c>
      <c r="F3" s="3">
        <v>3</v>
      </c>
      <c r="G3" s="3" t="s">
        <v>16</v>
      </c>
      <c r="H3" s="3" t="str">
        <f>IF(LEN(TRIM(B3))&gt;0,"Y","")</f>
        <v>Y</v>
      </c>
      <c r="I3" s="3" t="s">
        <v>118</v>
      </c>
      <c r="J3" s="3" t="s">
        <v>119</v>
      </c>
      <c r="K3" s="3">
        <v>1</v>
      </c>
      <c r="L3" s="3" t="s">
        <v>120</v>
      </c>
      <c r="M3" s="3" t="str">
        <f>IF(B3="","","PF"&amp;"_"&amp;IFERROR(VLOOKUP(B3,LOOKUPS!$K$2:$L$10,2,FALSE),"UNK")&amp;"_"&amp;IFERROR(VLOOKUP(C3,LOOKUPS!$N$2:$O$10,2,FALSE),"UNK")&amp;"_"&amp;UPPER(L3))</f>
        <v>PF_ITNIC_PF_IR35</v>
      </c>
      <c r="N3" s="3">
        <f>IF(M3="","",COUNTIF($M$2:M3,M3))</f>
        <v>1</v>
      </c>
      <c r="O3" s="3" t="s">
        <v>227</v>
      </c>
      <c r="P3" s="3" t="s">
        <v>228</v>
      </c>
      <c r="Q3" s="3" t="s">
        <v>121</v>
      </c>
      <c r="R3" s="3" t="s">
        <v>122</v>
      </c>
      <c r="S3" s="3" t="s">
        <v>813</v>
      </c>
      <c r="T3" s="3" t="s">
        <v>814</v>
      </c>
    </row>
    <row r="4" spans="1:32" ht="409.6" x14ac:dyDescent="0.3">
      <c r="A4" s="3" t="str">
        <f t="shared" si="0"/>
        <v>PF_ITNIC_PF_EIS_001</v>
      </c>
      <c r="B4" s="3" t="s">
        <v>21</v>
      </c>
      <c r="C4" s="3" t="s">
        <v>35</v>
      </c>
      <c r="D4" s="6" t="s">
        <v>815</v>
      </c>
      <c r="E4" s="3" t="s">
        <v>36</v>
      </c>
      <c r="F4" s="3">
        <v>3</v>
      </c>
      <c r="G4" s="3" t="s">
        <v>16</v>
      </c>
      <c r="H4" s="3" t="s">
        <v>17</v>
      </c>
      <c r="I4" s="3" t="s">
        <v>123</v>
      </c>
      <c r="J4" s="3" t="s">
        <v>124</v>
      </c>
      <c r="K4" s="3">
        <v>1</v>
      </c>
      <c r="L4" s="3" t="s">
        <v>125</v>
      </c>
      <c r="M4" s="3" t="str">
        <f>IF(B4="","","PF"&amp;"_"&amp;IFERROR(VLOOKUP(B4,LOOKUPS!$K$2:$L$10,2,FALSE),"UNK")&amp;"_"&amp;IFERROR(VLOOKUP(C4,LOOKUPS!$N$2:$O$10,2,FALSE),"UNK")&amp;"_"&amp;UPPER(L4))</f>
        <v>PF_ITNIC_PF_EIS</v>
      </c>
      <c r="N4" s="3">
        <f>IF(M4="","",COUNTIF($M$2:M4,M4))</f>
        <v>1</v>
      </c>
      <c r="O4" s="3" t="s">
        <v>151</v>
      </c>
      <c r="P4" s="3" t="s">
        <v>807</v>
      </c>
      <c r="Q4" s="3" t="s">
        <v>152</v>
      </c>
      <c r="R4" s="3" t="s">
        <v>153</v>
      </c>
      <c r="S4" s="3" t="s">
        <v>817</v>
      </c>
      <c r="T4" s="3" t="s">
        <v>816</v>
      </c>
    </row>
    <row r="5" spans="1:32" ht="409.6" x14ac:dyDescent="0.3">
      <c r="A5" s="3" t="str">
        <f t="shared" si="0"/>
        <v>PF_ITNIC_PF_PSC_001</v>
      </c>
      <c r="B5" s="3" t="s">
        <v>21</v>
      </c>
      <c r="C5" s="3" t="s">
        <v>35</v>
      </c>
      <c r="D5" s="3" t="s">
        <v>155</v>
      </c>
      <c r="E5" s="3" t="s">
        <v>36</v>
      </c>
      <c r="F5" s="3">
        <v>3</v>
      </c>
      <c r="G5" s="3" t="s">
        <v>16</v>
      </c>
      <c r="H5" s="3" t="s">
        <v>17</v>
      </c>
      <c r="I5" s="3" t="s">
        <v>193</v>
      </c>
      <c r="J5" s="3" t="s">
        <v>124</v>
      </c>
      <c r="K5" s="3">
        <v>1</v>
      </c>
      <c r="L5" s="3" t="s">
        <v>157</v>
      </c>
      <c r="M5" s="3" t="str">
        <f>IF(B5="","","PF"&amp;"_"&amp;IFERROR(VLOOKUP(B5,LOOKUPS!$K$2:$L$10,2,FALSE),"UNK")&amp;"_"&amp;IFERROR(VLOOKUP(C5,LOOKUPS!$N$2:$O$10,2,FALSE),"UNK")&amp;"_"&amp;UPPER(L5))</f>
        <v>PF_ITNIC_PF_PSC</v>
      </c>
      <c r="N5" s="3">
        <f>IF(M5="","",COUNTIF($M$2:M5,M5))</f>
        <v>1</v>
      </c>
      <c r="O5" s="3" t="s">
        <v>194</v>
      </c>
      <c r="P5" s="3" t="s">
        <v>195</v>
      </c>
      <c r="Q5" s="3" t="s">
        <v>196</v>
      </c>
      <c r="R5" s="3" t="s">
        <v>197</v>
      </c>
      <c r="S5" s="3" t="s">
        <v>808</v>
      </c>
      <c r="T5" s="3" t="s">
        <v>811</v>
      </c>
      <c r="AF5" s="3" t="s">
        <v>17</v>
      </c>
    </row>
    <row r="6" spans="1:32" ht="409.6" x14ac:dyDescent="0.3">
      <c r="A6" s="3" t="str">
        <f t="shared" si="0"/>
        <v>PF_ITNIC_PF_PSC_002</v>
      </c>
      <c r="B6" s="3" t="s">
        <v>21</v>
      </c>
      <c r="C6" s="3" t="s">
        <v>35</v>
      </c>
      <c r="D6" s="3" t="s">
        <v>155</v>
      </c>
      <c r="E6" s="3" t="s">
        <v>36</v>
      </c>
      <c r="F6" s="3">
        <v>3</v>
      </c>
      <c r="G6" s="3" t="s">
        <v>16</v>
      </c>
      <c r="H6" s="3" t="s">
        <v>17</v>
      </c>
      <c r="I6" s="3" t="s">
        <v>193</v>
      </c>
      <c r="J6" s="3" t="s">
        <v>124</v>
      </c>
      <c r="K6" s="3">
        <v>1</v>
      </c>
      <c r="L6" s="3" t="s">
        <v>157</v>
      </c>
      <c r="M6" s="3" t="str">
        <f>IF(B6="","","PF"&amp;"_"&amp;IFERROR(VLOOKUP(B6,LOOKUPS!$K$2:$L$10,2,FALSE),"UNK")&amp;"_"&amp;IFERROR(VLOOKUP(C6,LOOKUPS!$N$2:$O$10,2,FALSE),"UNK")&amp;"_"&amp;UPPER(L6))</f>
        <v>PF_ITNIC_PF_PSC</v>
      </c>
      <c r="N6" s="3">
        <f>IF(M6="","",COUNTIF($M$2:M6,M6))</f>
        <v>2</v>
      </c>
      <c r="O6" s="3" t="s">
        <v>194</v>
      </c>
      <c r="P6" s="3" t="s">
        <v>229</v>
      </c>
      <c r="Q6" s="3" t="s">
        <v>230</v>
      </c>
      <c r="R6" s="3" t="s">
        <v>231</v>
      </c>
      <c r="S6" s="3" t="s">
        <v>810</v>
      </c>
      <c r="T6" s="3" t="s">
        <v>809</v>
      </c>
    </row>
    <row r="7" spans="1:32" ht="409.6" x14ac:dyDescent="0.3">
      <c r="A7" s="3" t="str">
        <f t="shared" si="0"/>
        <v>PF_ITNIC_PF_ITCOMP_001</v>
      </c>
      <c r="B7" s="3" t="s">
        <v>21</v>
      </c>
      <c r="C7" s="3" t="s">
        <v>35</v>
      </c>
      <c r="D7" s="3" t="s">
        <v>307</v>
      </c>
      <c r="E7" s="3" t="s">
        <v>36</v>
      </c>
      <c r="F7" s="3">
        <v>3</v>
      </c>
      <c r="G7" s="3" t="s">
        <v>16</v>
      </c>
      <c r="H7" s="3" t="s">
        <v>17</v>
      </c>
      <c r="I7" s="3" t="s">
        <v>308</v>
      </c>
      <c r="J7" s="3" t="s">
        <v>309</v>
      </c>
      <c r="K7" s="3">
        <v>1</v>
      </c>
      <c r="L7" s="3" t="s">
        <v>310</v>
      </c>
      <c r="M7" s="3" t="str">
        <f>IF(B7="","","PF"&amp;"_"&amp;IFERROR(VLOOKUP(B7,LOOKUPS!$K$2:$L$10,2,FALSE),"UNK")&amp;"_"&amp;IFERROR(VLOOKUP(C7,LOOKUPS!$N$2:$O$10,2,FALSE),"UNK")&amp;"_"&amp;UPPER(L7))</f>
        <v>PF_ITNIC_PF_ITCOMP</v>
      </c>
      <c r="N7" s="3">
        <f>IF(M7="","",COUNTIF($M$2:M7,M7))</f>
        <v>1</v>
      </c>
      <c r="O7" s="3" t="s">
        <v>307</v>
      </c>
      <c r="P7" s="3" t="s">
        <v>311</v>
      </c>
      <c r="Q7" s="3" t="s">
        <v>314</v>
      </c>
      <c r="R7" s="3" t="s">
        <v>315</v>
      </c>
      <c r="S7" s="3" t="s">
        <v>316</v>
      </c>
      <c r="T7" s="3" t="s">
        <v>313</v>
      </c>
    </row>
    <row r="8" spans="1:32" x14ac:dyDescent="0.3">
      <c r="A8" s="3" t="str">
        <f t="shared" si="0"/>
        <v/>
      </c>
      <c r="M8" s="3" t="str">
        <f>IF(B8="","","PF"&amp;"_"&amp;IFERROR(VLOOKUP(B8,LOOKUPS!$K$2:$L$10,2,FALSE),"UNK")&amp;"_"&amp;IFERROR(VLOOKUP(C8,LOOKUPS!$N$2:$O$10,2,FALSE),"UNK")&amp;"_"&amp;UPPER(L8))</f>
        <v/>
      </c>
      <c r="N8" s="3" t="str">
        <f>IF(M8="","",COUNTIF($M$2:M8,M8))</f>
        <v/>
      </c>
    </row>
    <row r="9" spans="1:32" x14ac:dyDescent="0.3">
      <c r="A9" s="3" t="str">
        <f t="shared" si="0"/>
        <v/>
      </c>
      <c r="M9" s="3" t="str">
        <f>IF(B9="","","PF"&amp;"_"&amp;IFERROR(VLOOKUP(B9,LOOKUPS!$K$2:$L$10,2,FALSE),"UNK")&amp;"_"&amp;IFERROR(VLOOKUP(C9,LOOKUPS!$N$2:$O$10,2,FALSE),"UNK")&amp;"_"&amp;UPPER(L9))</f>
        <v/>
      </c>
      <c r="N9" s="3" t="str">
        <f>IF(M9="","",COUNTIF($M$2:M9,M9))</f>
        <v/>
      </c>
    </row>
    <row r="10" spans="1:32" x14ac:dyDescent="0.3">
      <c r="A10" s="3" t="str">
        <f t="shared" si="0"/>
        <v/>
      </c>
      <c r="M10" s="3" t="str">
        <f>IF(B10="","","PF"&amp;"_"&amp;IFERROR(VLOOKUP(B10,LOOKUPS!$K$2:$L$10,2,FALSE),"UNK")&amp;"_"&amp;IFERROR(VLOOKUP(C10,LOOKUPS!$N$2:$O$10,2,FALSE),"UNK")&amp;"_"&amp;UPPER(L10))</f>
        <v/>
      </c>
      <c r="N10" s="3" t="str">
        <f>IF(M10="","",COUNTIF($M$2:M10,M10))</f>
        <v/>
      </c>
    </row>
    <row r="11" spans="1:32" x14ac:dyDescent="0.3">
      <c r="A11" s="3" t="str">
        <f t="shared" si="0"/>
        <v/>
      </c>
      <c r="M11" s="3" t="str">
        <f>IF(B11="","","PF"&amp;"_"&amp;IFERROR(VLOOKUP(B11,LOOKUPS!$K$2:$L$10,2,FALSE),"UNK")&amp;"_"&amp;IFERROR(VLOOKUP(C11,LOOKUPS!$N$2:$O$10,2,FALSE),"UNK")&amp;"_"&amp;UPPER(L11))</f>
        <v/>
      </c>
      <c r="N11" s="3" t="str">
        <f>IF(M11="","",COUNTIF($M$2:M11,M11))</f>
        <v/>
      </c>
    </row>
    <row r="12" spans="1:32" x14ac:dyDescent="0.3">
      <c r="A12" s="3" t="str">
        <f t="shared" si="0"/>
        <v/>
      </c>
      <c r="M12" s="3" t="str">
        <f>IF(B12="","","PF"&amp;"_"&amp;IFERROR(VLOOKUP(B12,LOOKUPS!$K$2:$L$10,2,FALSE),"UNK")&amp;"_"&amp;IFERROR(VLOOKUP(C12,LOOKUPS!$N$2:$O$10,2,FALSE),"UNK")&amp;"_"&amp;UPPER(L12))</f>
        <v/>
      </c>
      <c r="N12" s="3" t="str">
        <f>IF(M12="","",COUNTIF($M$2:M12,M12))</f>
        <v/>
      </c>
    </row>
    <row r="13" spans="1:32" x14ac:dyDescent="0.3">
      <c r="A13" s="3" t="str">
        <f t="shared" si="0"/>
        <v/>
      </c>
      <c r="M13" s="3" t="str">
        <f>IF(B13="","","PF"&amp;"_"&amp;IFERROR(VLOOKUP(B13,LOOKUPS!$K$2:$L$10,2,FALSE),"UNK")&amp;"_"&amp;IFERROR(VLOOKUP(C13,LOOKUPS!$N$2:$O$10,2,FALSE),"UNK")&amp;"_"&amp;UPPER(L13))</f>
        <v/>
      </c>
      <c r="N13" s="3" t="str">
        <f>IF(M13="","",COUNTIF($M$2:M13,M13))</f>
        <v/>
      </c>
    </row>
    <row r="14" spans="1:32" x14ac:dyDescent="0.3">
      <c r="A14" s="3" t="str">
        <f t="shared" si="0"/>
        <v/>
      </c>
      <c r="M14" s="3" t="str">
        <f>IF(B14="","","PF"&amp;"_"&amp;IFERROR(VLOOKUP(B14,LOOKUPS!$K$2:$L$10,2,FALSE),"UNK")&amp;"_"&amp;IFERROR(VLOOKUP(C14,LOOKUPS!$N$2:$O$10,2,FALSE),"UNK")&amp;"_"&amp;UPPER(L14))</f>
        <v/>
      </c>
      <c r="N14" s="3" t="str">
        <f>IF(M14="","",COUNTIF($M$2:M14,M14))</f>
        <v/>
      </c>
    </row>
    <row r="15" spans="1:32" x14ac:dyDescent="0.3">
      <c r="A15" s="3" t="str">
        <f t="shared" si="0"/>
        <v/>
      </c>
      <c r="M15" s="3" t="str">
        <f>IF(B15="","","PF"&amp;"_"&amp;IFERROR(VLOOKUP(B15,LOOKUPS!$K$2:$L$10,2,FALSE),"UNK")&amp;"_"&amp;IFERROR(VLOOKUP(C15,LOOKUPS!$N$2:$O$10,2,FALSE),"UNK")&amp;"_"&amp;UPPER(L15))</f>
        <v/>
      </c>
      <c r="N15" s="3" t="str">
        <f>IF(M15="","",COUNTIF($M$2:M15,M15))</f>
        <v/>
      </c>
    </row>
    <row r="16" spans="1:32" x14ac:dyDescent="0.3">
      <c r="A16" s="3" t="str">
        <f t="shared" si="0"/>
        <v/>
      </c>
      <c r="M16" s="3" t="str">
        <f>IF(B16="","","PF"&amp;"_"&amp;IFERROR(VLOOKUP(B16,LOOKUPS!$K$2:$L$10,2,FALSE),"UNK")&amp;"_"&amp;IFERROR(VLOOKUP(C16,LOOKUPS!$N$2:$O$10,2,FALSE),"UNK")&amp;"_"&amp;UPPER(L16))</f>
        <v/>
      </c>
      <c r="N16" s="3" t="str">
        <f>IF(M16="","",COUNTIF($M$2:M16,M16))</f>
        <v/>
      </c>
    </row>
    <row r="17" spans="1:14" x14ac:dyDescent="0.3">
      <c r="A17" s="3" t="str">
        <f t="shared" si="0"/>
        <v/>
      </c>
      <c r="M17" s="3" t="str">
        <f>IF(B17="","","PF"&amp;"_"&amp;IFERROR(VLOOKUP(B17,LOOKUPS!$K$2:$L$10,2,FALSE),"UNK")&amp;"_"&amp;IFERROR(VLOOKUP(C17,LOOKUPS!$N$2:$O$10,2,FALSE),"UNK")&amp;"_"&amp;UPPER(L17))</f>
        <v/>
      </c>
      <c r="N17" s="3" t="str">
        <f>IF(M17="","",COUNTIF($M$2:M17,M17))</f>
        <v/>
      </c>
    </row>
    <row r="18" spans="1:14" x14ac:dyDescent="0.3">
      <c r="A18" s="3" t="str">
        <f t="shared" si="0"/>
        <v/>
      </c>
      <c r="M18" s="3" t="str">
        <f>IF(B18="","","PF"&amp;"_"&amp;IFERROR(VLOOKUP(B18,LOOKUPS!$K$2:$L$10,2,FALSE),"UNK")&amp;"_"&amp;IFERROR(VLOOKUP(C18,LOOKUPS!$N$2:$O$10,2,FALSE),"UNK")&amp;"_"&amp;UPPER(L18))</f>
        <v/>
      </c>
      <c r="N18" s="3" t="str">
        <f>IF(M18="","",COUNTIF($M$2:M18,M18))</f>
        <v/>
      </c>
    </row>
    <row r="19" spans="1:14" x14ac:dyDescent="0.3">
      <c r="A19" s="3" t="str">
        <f t="shared" si="0"/>
        <v/>
      </c>
      <c r="M19" s="3" t="str">
        <f>IF(B19="","","PF"&amp;"_"&amp;IFERROR(VLOOKUP(B19,LOOKUPS!$K$2:$L$10,2,FALSE),"UNK")&amp;"_"&amp;IFERROR(VLOOKUP(C19,LOOKUPS!$N$2:$O$10,2,FALSE),"UNK")&amp;"_"&amp;UPPER(L19))</f>
        <v/>
      </c>
      <c r="N19" s="3" t="str">
        <f>IF(M19="","",COUNTIF($M$2:M19,M19))</f>
        <v/>
      </c>
    </row>
    <row r="20" spans="1:14" x14ac:dyDescent="0.3">
      <c r="A20" s="3" t="str">
        <f t="shared" si="0"/>
        <v/>
      </c>
      <c r="M20" s="3" t="str">
        <f>IF(B20="","","PF"&amp;"_"&amp;IFERROR(VLOOKUP(B20,LOOKUPS!$K$2:$L$10,2,FALSE),"UNK")&amp;"_"&amp;IFERROR(VLOOKUP(C20,LOOKUPS!$N$2:$O$10,2,FALSE),"UNK")&amp;"_"&amp;UPPER(L20))</f>
        <v/>
      </c>
      <c r="N20" s="3" t="str">
        <f>IF(M20="","",COUNTIF($M$2:M20,M20))</f>
        <v/>
      </c>
    </row>
    <row r="21" spans="1:14" x14ac:dyDescent="0.3">
      <c r="A21" s="3" t="str">
        <f t="shared" si="0"/>
        <v/>
      </c>
      <c r="M21" s="3" t="str">
        <f>IF(B21="","","PF"&amp;"_"&amp;IFERROR(VLOOKUP(B21,LOOKUPS!$K$2:$L$10,2,FALSE),"UNK")&amp;"_"&amp;IFERROR(VLOOKUP(C21,LOOKUPS!$N$2:$O$10,2,FALSE),"UNK")&amp;"_"&amp;UPPER(L21))</f>
        <v/>
      </c>
      <c r="N21" s="3" t="str">
        <f>IF(M21="","",COUNTIF($M$2:M21,M21))</f>
        <v/>
      </c>
    </row>
    <row r="22" spans="1:14" x14ac:dyDescent="0.3">
      <c r="A22" s="3" t="str">
        <f t="shared" si="0"/>
        <v/>
      </c>
      <c r="M22" s="3" t="str">
        <f>IF(B22="","","PF"&amp;"_"&amp;IFERROR(VLOOKUP(B22,LOOKUPS!$K$2:$L$10,2,FALSE),"UNK")&amp;"_"&amp;IFERROR(VLOOKUP(C22,LOOKUPS!$N$2:$O$10,2,FALSE),"UNK")&amp;"_"&amp;UPPER(L22))</f>
        <v/>
      </c>
      <c r="N22" s="3" t="str">
        <f>IF(M22="","",COUNTIF($M$2:M22,M22))</f>
        <v/>
      </c>
    </row>
    <row r="23" spans="1:14" x14ac:dyDescent="0.3">
      <c r="A23" s="3" t="str">
        <f t="shared" si="0"/>
        <v/>
      </c>
      <c r="M23" s="3" t="str">
        <f>IF(B23="","","PF"&amp;"_"&amp;IFERROR(VLOOKUP(B23,LOOKUPS!$K$2:$L$10,2,FALSE),"UNK")&amp;"_"&amp;IFERROR(VLOOKUP(C23,LOOKUPS!$N$2:$O$10,2,FALSE),"UNK")&amp;"_"&amp;UPPER(L23))</f>
        <v/>
      </c>
      <c r="N23" s="3" t="str">
        <f>IF(M23="","",COUNTIF($M$2:M23,M23))</f>
        <v/>
      </c>
    </row>
    <row r="24" spans="1:14" x14ac:dyDescent="0.3">
      <c r="A24" s="3" t="str">
        <f t="shared" si="0"/>
        <v/>
      </c>
      <c r="M24" s="3" t="str">
        <f>IF(B24="","","PF"&amp;"_"&amp;IFERROR(VLOOKUP(B24,LOOKUPS!$K$2:$L$10,2,FALSE),"UNK")&amp;"_"&amp;IFERROR(VLOOKUP(C24,LOOKUPS!$N$2:$O$10,2,FALSE),"UNK")&amp;"_"&amp;UPPER(L24))</f>
        <v/>
      </c>
      <c r="N24" s="3" t="str">
        <f>IF(M24="","",COUNTIF($M$2:M24,M24))</f>
        <v/>
      </c>
    </row>
    <row r="25" spans="1:14" x14ac:dyDescent="0.3">
      <c r="A25" s="3" t="str">
        <f t="shared" si="0"/>
        <v/>
      </c>
      <c r="M25" s="3" t="str">
        <f>IF(B25="","","PF"&amp;"_"&amp;IFERROR(VLOOKUP(B25,LOOKUPS!$K$2:$L$10,2,FALSE),"UNK")&amp;"_"&amp;IFERROR(VLOOKUP(C25,LOOKUPS!$N$2:$O$10,2,FALSE),"UNK")&amp;"_"&amp;UPPER(L25))</f>
        <v/>
      </c>
      <c r="N25" s="3" t="str">
        <f>IF(M25="","",COUNTIF($M$2:M25,M25))</f>
        <v/>
      </c>
    </row>
    <row r="26" spans="1:14" x14ac:dyDescent="0.3">
      <c r="A26" s="3" t="str">
        <f t="shared" si="0"/>
        <v/>
      </c>
      <c r="M26" s="3" t="str">
        <f>IF(B26="","","PF"&amp;"_"&amp;IFERROR(VLOOKUP(B26,LOOKUPS!$K$2:$L$10,2,FALSE),"UNK")&amp;"_"&amp;IFERROR(VLOOKUP(C26,LOOKUPS!$N$2:$O$10,2,FALSE),"UNK")&amp;"_"&amp;UPPER(L26))</f>
        <v/>
      </c>
      <c r="N26" s="3" t="str">
        <f>IF(M26="","",COUNTIF($M$2:M26,M26))</f>
        <v/>
      </c>
    </row>
    <row r="27" spans="1:14" x14ac:dyDescent="0.3">
      <c r="A27" s="3" t="str">
        <f t="shared" si="0"/>
        <v/>
      </c>
      <c r="M27" s="3" t="str">
        <f>IF(B27="","","PF"&amp;"_"&amp;IFERROR(VLOOKUP(B27,LOOKUPS!$K$2:$L$10,2,FALSE),"UNK")&amp;"_"&amp;IFERROR(VLOOKUP(C27,LOOKUPS!$N$2:$O$10,2,FALSE),"UNK")&amp;"_"&amp;UPPER(L27))</f>
        <v/>
      </c>
      <c r="N27" s="3" t="str">
        <f>IF(M27="","",COUNTIF($M$2:M27,M27))</f>
        <v/>
      </c>
    </row>
    <row r="28" spans="1:14" x14ac:dyDescent="0.3">
      <c r="A28" s="3" t="str">
        <f t="shared" si="0"/>
        <v/>
      </c>
      <c r="M28" s="3" t="str">
        <f>IF(B28="","","PF"&amp;"_"&amp;IFERROR(VLOOKUP(B28,LOOKUPS!$K$2:$L$10,2,FALSE),"UNK")&amp;"_"&amp;IFERROR(VLOOKUP(C28,LOOKUPS!$N$2:$O$10,2,FALSE),"UNK")&amp;"_"&amp;UPPER(L28))</f>
        <v/>
      </c>
      <c r="N28" s="3" t="str">
        <f>IF(M28="","",COUNTIF($M$2:M28,M28))</f>
        <v/>
      </c>
    </row>
    <row r="29" spans="1:14" x14ac:dyDescent="0.3">
      <c r="A29" s="3" t="str">
        <f t="shared" si="0"/>
        <v/>
      </c>
      <c r="M29" s="3" t="str">
        <f>IF(B29="","","PF"&amp;"_"&amp;IFERROR(VLOOKUP(B29,LOOKUPS!$K$2:$L$10,2,FALSE),"UNK")&amp;"_"&amp;IFERROR(VLOOKUP(C29,LOOKUPS!$N$2:$O$10,2,FALSE),"UNK")&amp;"_"&amp;UPPER(L29))</f>
        <v/>
      </c>
      <c r="N29" s="3" t="str">
        <f>IF(M29="","",COUNTIF($M$2:M29,M29))</f>
        <v/>
      </c>
    </row>
    <row r="30" spans="1:14" x14ac:dyDescent="0.3">
      <c r="A30" s="3" t="str">
        <f t="shared" si="0"/>
        <v/>
      </c>
      <c r="M30" s="3" t="str">
        <f>IF(B30="","","PF"&amp;"_"&amp;IFERROR(VLOOKUP(B30,LOOKUPS!$K$2:$L$10,2,FALSE),"UNK")&amp;"_"&amp;IFERROR(VLOOKUP(C30,LOOKUPS!$N$2:$O$10,2,FALSE),"UNK")&amp;"_"&amp;UPPER(L30))</f>
        <v/>
      </c>
      <c r="N30" s="3" t="str">
        <f>IF(M30="","",COUNTIF($M$2:M30,M30))</f>
        <v/>
      </c>
    </row>
    <row r="31" spans="1:14" x14ac:dyDescent="0.3">
      <c r="A31" s="3" t="str">
        <f t="shared" si="0"/>
        <v/>
      </c>
      <c r="M31" s="3" t="str">
        <f>IF(B31="","","PF"&amp;"_"&amp;IFERROR(VLOOKUP(B31,LOOKUPS!$K$2:$L$10,2,FALSE),"UNK")&amp;"_"&amp;IFERROR(VLOOKUP(C31,LOOKUPS!$N$2:$O$10,2,FALSE),"UNK")&amp;"_"&amp;UPPER(L31))</f>
        <v/>
      </c>
      <c r="N31" s="3" t="str">
        <f>IF(M31="","",COUNTIF($M$2:M31,M31))</f>
        <v/>
      </c>
    </row>
    <row r="32" spans="1:14" x14ac:dyDescent="0.3">
      <c r="A32" s="3" t="str">
        <f t="shared" si="0"/>
        <v/>
      </c>
      <c r="M32" s="3" t="str">
        <f>IF(B32="","","PF"&amp;"_"&amp;IFERROR(VLOOKUP(B32,LOOKUPS!$K$2:$L$10,2,FALSE),"UNK")&amp;"_"&amp;IFERROR(VLOOKUP(C32,LOOKUPS!$N$2:$O$10,2,FALSE),"UNK")&amp;"_"&amp;UPPER(L32))</f>
        <v/>
      </c>
      <c r="N32" s="3" t="str">
        <f>IF(M32="","",COUNTIF($M$2:M32,M32))</f>
        <v/>
      </c>
    </row>
    <row r="33" spans="1:14" x14ac:dyDescent="0.3">
      <c r="A33" s="3" t="str">
        <f t="shared" si="0"/>
        <v/>
      </c>
      <c r="M33" s="3" t="str">
        <f>IF(B33="","","PF"&amp;"_"&amp;IFERROR(VLOOKUP(B33,LOOKUPS!$K$2:$L$10,2,FALSE),"UNK")&amp;"_"&amp;IFERROR(VLOOKUP(C33,LOOKUPS!$N$2:$O$10,2,FALSE),"UNK")&amp;"_"&amp;UPPER(L33))</f>
        <v/>
      </c>
      <c r="N33" s="3" t="str">
        <f>IF(M33="","",COUNTIF($M$2:M33,M33))</f>
        <v/>
      </c>
    </row>
    <row r="34" spans="1:14" x14ac:dyDescent="0.3">
      <c r="A34" s="3" t="str">
        <f t="shared" si="0"/>
        <v/>
      </c>
      <c r="M34" s="3" t="str">
        <f>IF(B34="","","PF"&amp;"_"&amp;IFERROR(VLOOKUP(B34,LOOKUPS!$K$2:$L$10,2,FALSE),"UNK")&amp;"_"&amp;IFERROR(VLOOKUP(C34,LOOKUPS!$N$2:$O$10,2,FALSE),"UNK")&amp;"_"&amp;UPPER(L34))</f>
        <v/>
      </c>
      <c r="N34" s="3" t="str">
        <f>IF(M34="","",COUNTIF($M$2:M34,M34))</f>
        <v/>
      </c>
    </row>
    <row r="35" spans="1:14" x14ac:dyDescent="0.3">
      <c r="A35" s="3" t="str">
        <f t="shared" si="0"/>
        <v/>
      </c>
      <c r="M35" s="3" t="str">
        <f>IF(B35="","","PF"&amp;"_"&amp;IFERROR(VLOOKUP(B35,LOOKUPS!$K$2:$L$10,2,FALSE),"UNK")&amp;"_"&amp;IFERROR(VLOOKUP(C35,LOOKUPS!$N$2:$O$10,2,FALSE),"UNK")&amp;"_"&amp;UPPER(L35))</f>
        <v/>
      </c>
      <c r="N35" s="3" t="str">
        <f>IF(M35="","",COUNTIF($M$2:M35,M35))</f>
        <v/>
      </c>
    </row>
    <row r="36" spans="1:14" x14ac:dyDescent="0.3">
      <c r="A36" s="3" t="str">
        <f t="shared" si="0"/>
        <v/>
      </c>
      <c r="M36" s="3" t="str">
        <f>IF(B36="","","PF"&amp;"_"&amp;IFERROR(VLOOKUP(B36,LOOKUPS!$K$2:$L$10,2,FALSE),"UNK")&amp;"_"&amp;IFERROR(VLOOKUP(C36,LOOKUPS!$N$2:$O$10,2,FALSE),"UNK")&amp;"_"&amp;UPPER(L36))</f>
        <v/>
      </c>
      <c r="N36" s="3" t="str">
        <f>IF(M36="","",COUNTIF($M$2:M36,M36))</f>
        <v/>
      </c>
    </row>
    <row r="37" spans="1:14" x14ac:dyDescent="0.3">
      <c r="A37" s="3" t="str">
        <f t="shared" si="0"/>
        <v/>
      </c>
      <c r="M37" s="3" t="str">
        <f>IF(B37="","","PF"&amp;"_"&amp;IFERROR(VLOOKUP(B37,LOOKUPS!$K$2:$L$10,2,FALSE),"UNK")&amp;"_"&amp;IFERROR(VLOOKUP(C37,LOOKUPS!$N$2:$O$10,2,FALSE),"UNK")&amp;"_"&amp;UPPER(L37))</f>
        <v/>
      </c>
      <c r="N37" s="3" t="str">
        <f>IF(M37="","",COUNTIF($M$2:M37,M37))</f>
        <v/>
      </c>
    </row>
    <row r="38" spans="1:14" x14ac:dyDescent="0.3">
      <c r="A38" s="3" t="str">
        <f t="shared" si="0"/>
        <v/>
      </c>
      <c r="M38" s="3" t="str">
        <f>IF(B38="","","PF"&amp;"_"&amp;IFERROR(VLOOKUP(B38,LOOKUPS!$K$2:$L$10,2,FALSE),"UNK")&amp;"_"&amp;IFERROR(VLOOKUP(C38,LOOKUPS!$N$2:$O$10,2,FALSE),"UNK")&amp;"_"&amp;UPPER(L38))</f>
        <v/>
      </c>
      <c r="N38" s="3" t="str">
        <f>IF(M38="","",COUNTIF($M$2:M38,M38))</f>
        <v/>
      </c>
    </row>
    <row r="39" spans="1:14" x14ac:dyDescent="0.3">
      <c r="A39" s="3" t="str">
        <f t="shared" si="0"/>
        <v/>
      </c>
      <c r="M39" s="3" t="str">
        <f>IF(B39="","","PF"&amp;"_"&amp;IFERROR(VLOOKUP(B39,LOOKUPS!$K$2:$L$10,2,FALSE),"UNK")&amp;"_"&amp;IFERROR(VLOOKUP(C39,LOOKUPS!$N$2:$O$10,2,FALSE),"UNK")&amp;"_"&amp;UPPER(L39))</f>
        <v/>
      </c>
      <c r="N39" s="3" t="str">
        <f>IF(M39="","",COUNTIF($M$2:M39,M39))</f>
        <v/>
      </c>
    </row>
    <row r="40" spans="1:14" x14ac:dyDescent="0.3">
      <c r="A40" s="3" t="str">
        <f t="shared" si="0"/>
        <v/>
      </c>
      <c r="M40" s="3" t="str">
        <f>IF(B40="","","PF"&amp;"_"&amp;IFERROR(VLOOKUP(B40,LOOKUPS!$K$2:$L$10,2,FALSE),"UNK")&amp;"_"&amp;IFERROR(VLOOKUP(C40,LOOKUPS!$N$2:$O$10,2,FALSE),"UNK")&amp;"_"&amp;UPPER(L40))</f>
        <v/>
      </c>
      <c r="N40" s="3" t="str">
        <f>IF(M40="","",COUNTIF($M$2:M40,M40))</f>
        <v/>
      </c>
    </row>
    <row r="41" spans="1:14" x14ac:dyDescent="0.3">
      <c r="A41" s="3" t="str">
        <f t="shared" si="0"/>
        <v/>
      </c>
      <c r="M41" s="3" t="str">
        <f>IF(B41="","","PF"&amp;"_"&amp;IFERROR(VLOOKUP(B41,LOOKUPS!$K$2:$L$10,2,FALSE),"UNK")&amp;"_"&amp;IFERROR(VLOOKUP(C41,LOOKUPS!$N$2:$O$10,2,FALSE),"UNK")&amp;"_"&amp;UPPER(L41))</f>
        <v/>
      </c>
      <c r="N41" s="3" t="str">
        <f>IF(M41="","",COUNTIF($M$2:M41,M41))</f>
        <v/>
      </c>
    </row>
    <row r="42" spans="1:14" x14ac:dyDescent="0.3">
      <c r="A42" s="3" t="str">
        <f t="shared" si="0"/>
        <v/>
      </c>
      <c r="M42" s="3" t="str">
        <f>IF(B42="","","PF"&amp;"_"&amp;IFERROR(VLOOKUP(B42,LOOKUPS!$K$2:$L$10,2,FALSE),"UNK")&amp;"_"&amp;IFERROR(VLOOKUP(C42,LOOKUPS!$N$2:$O$10,2,FALSE),"UNK")&amp;"_"&amp;UPPER(L42))</f>
        <v/>
      </c>
      <c r="N42" s="3" t="str">
        <f>IF(M42="","",COUNTIF($M$2:M42,M42))</f>
        <v/>
      </c>
    </row>
    <row r="43" spans="1:14" x14ac:dyDescent="0.3">
      <c r="A43" s="3" t="str">
        <f t="shared" si="0"/>
        <v/>
      </c>
      <c r="M43" s="3" t="str">
        <f>IF(B43="","","PF"&amp;"_"&amp;IFERROR(VLOOKUP(B43,LOOKUPS!$K$2:$L$10,2,FALSE),"UNK")&amp;"_"&amp;IFERROR(VLOOKUP(C43,LOOKUPS!$N$2:$O$10,2,FALSE),"UNK")&amp;"_"&amp;UPPER(L43))</f>
        <v/>
      </c>
      <c r="N43" s="3" t="str">
        <f>IF(M43="","",COUNTIF($M$2:M43,M43))</f>
        <v/>
      </c>
    </row>
    <row r="44" spans="1:14" x14ac:dyDescent="0.3">
      <c r="A44" s="3" t="str">
        <f t="shared" si="0"/>
        <v/>
      </c>
      <c r="M44" s="3" t="str">
        <f>IF(B44="","","PF"&amp;"_"&amp;IFERROR(VLOOKUP(B44,LOOKUPS!$K$2:$L$10,2,FALSE),"UNK")&amp;"_"&amp;IFERROR(VLOOKUP(C44,LOOKUPS!$N$2:$O$10,2,FALSE),"UNK")&amp;"_"&amp;UPPER(L44))</f>
        <v/>
      </c>
      <c r="N44" s="3" t="str">
        <f>IF(M44="","",COUNTIF($M$2:M44,M44))</f>
        <v/>
      </c>
    </row>
    <row r="45" spans="1:14" x14ac:dyDescent="0.3">
      <c r="A45" s="3" t="str">
        <f t="shared" si="0"/>
        <v/>
      </c>
      <c r="M45" s="3" t="str">
        <f>IF(B45="","","PF"&amp;"_"&amp;IFERROR(VLOOKUP(B45,LOOKUPS!$K$2:$L$10,2,FALSE),"UNK")&amp;"_"&amp;IFERROR(VLOOKUP(C45,LOOKUPS!$N$2:$O$10,2,FALSE),"UNK")&amp;"_"&amp;UPPER(L45))</f>
        <v/>
      </c>
      <c r="N45" s="3" t="str">
        <f>IF(M45="","",COUNTIF($M$2:M45,M45))</f>
        <v/>
      </c>
    </row>
    <row r="46" spans="1:14" x14ac:dyDescent="0.3">
      <c r="A46" s="3" t="str">
        <f t="shared" si="0"/>
        <v/>
      </c>
      <c r="M46" s="3" t="str">
        <f>IF(B46="","","PF"&amp;"_"&amp;IFERROR(VLOOKUP(B46,LOOKUPS!$K$2:$L$10,2,FALSE),"UNK")&amp;"_"&amp;IFERROR(VLOOKUP(C46,LOOKUPS!$N$2:$O$10,2,FALSE),"UNK")&amp;"_"&amp;UPPER(L46))</f>
        <v/>
      </c>
      <c r="N46" s="3" t="str">
        <f>IF(M46="","",COUNTIF($M$2:M46,M46))</f>
        <v/>
      </c>
    </row>
    <row r="47" spans="1:14" x14ac:dyDescent="0.3">
      <c r="A47" s="3" t="str">
        <f t="shared" si="0"/>
        <v/>
      </c>
      <c r="M47" s="3" t="str">
        <f>IF(B47="","","PF"&amp;"_"&amp;IFERROR(VLOOKUP(B47,LOOKUPS!$K$2:$L$10,2,FALSE),"UNK")&amp;"_"&amp;IFERROR(VLOOKUP(C47,LOOKUPS!$N$2:$O$10,2,FALSE),"UNK")&amp;"_"&amp;UPPER(L47))</f>
        <v/>
      </c>
      <c r="N47" s="3" t="str">
        <f>IF(M47="","",COUNTIF($M$2:M47,M47))</f>
        <v/>
      </c>
    </row>
    <row r="48" spans="1:14" x14ac:dyDescent="0.3">
      <c r="A48" s="3" t="str">
        <f t="shared" si="0"/>
        <v/>
      </c>
      <c r="M48" s="3" t="str">
        <f>IF(B48="","","PF"&amp;"_"&amp;IFERROR(VLOOKUP(B48,LOOKUPS!$K$2:$L$10,2,FALSE),"UNK")&amp;"_"&amp;IFERROR(VLOOKUP(C48,LOOKUPS!$N$2:$O$10,2,FALSE),"UNK")&amp;"_"&amp;UPPER(L48))</f>
        <v/>
      </c>
      <c r="N48" s="3" t="str">
        <f>IF(M48="","",COUNTIF($M$2:M48,M48))</f>
        <v/>
      </c>
    </row>
    <row r="49" spans="1:14" x14ac:dyDescent="0.3">
      <c r="A49" s="3" t="str">
        <f t="shared" si="0"/>
        <v/>
      </c>
      <c r="M49" s="3" t="str">
        <f>IF(B49="","","PF"&amp;"_"&amp;IFERROR(VLOOKUP(B49,LOOKUPS!$K$2:$L$10,2,FALSE),"UNK")&amp;"_"&amp;IFERROR(VLOOKUP(C49,LOOKUPS!$N$2:$O$10,2,FALSE),"UNK")&amp;"_"&amp;UPPER(L49))</f>
        <v/>
      </c>
      <c r="N49" s="3" t="str">
        <f>IF(M49="","",COUNTIF($M$2:M49,M49))</f>
        <v/>
      </c>
    </row>
    <row r="50" spans="1:14" x14ac:dyDescent="0.3">
      <c r="A50" s="3" t="str">
        <f t="shared" si="0"/>
        <v/>
      </c>
      <c r="M50" s="3" t="str">
        <f>IF(B50="","","PF"&amp;"_"&amp;IFERROR(VLOOKUP(B50,LOOKUPS!$K$2:$L$10,2,FALSE),"UNK")&amp;"_"&amp;IFERROR(VLOOKUP(C50,LOOKUPS!$N$2:$O$10,2,FALSE),"UNK")&amp;"_"&amp;UPPER(L50))</f>
        <v/>
      </c>
      <c r="N50" s="3" t="str">
        <f>IF(M50="","",COUNTIF($M$2:M50,M50))</f>
        <v/>
      </c>
    </row>
    <row r="51" spans="1:14" x14ac:dyDescent="0.3">
      <c r="A51" s="3" t="str">
        <f t="shared" si="0"/>
        <v/>
      </c>
      <c r="M51" s="3" t="str">
        <f>IF(B51="","","PF"&amp;"_"&amp;IFERROR(VLOOKUP(B51,LOOKUPS!$K$2:$L$10,2,FALSE),"UNK")&amp;"_"&amp;IFERROR(VLOOKUP(C51,LOOKUPS!$N$2:$O$10,2,FALSE),"UNK")&amp;"_"&amp;UPPER(L51))</f>
        <v/>
      </c>
      <c r="N51" s="3" t="str">
        <f>IF(M51="","",COUNTIF($M$2:M51,M51))</f>
        <v/>
      </c>
    </row>
    <row r="52" spans="1:14" x14ac:dyDescent="0.3">
      <c r="A52" s="3" t="str">
        <f t="shared" si="0"/>
        <v/>
      </c>
      <c r="M52" s="3" t="str">
        <f>IF(B52="","","PF"&amp;"_"&amp;IFERROR(VLOOKUP(B52,LOOKUPS!$K$2:$L$10,2,FALSE),"UNK")&amp;"_"&amp;IFERROR(VLOOKUP(C52,LOOKUPS!$N$2:$O$10,2,FALSE),"UNK")&amp;"_"&amp;UPPER(L52))</f>
        <v/>
      </c>
      <c r="N52" s="3" t="str">
        <f>IF(M52="","",COUNTIF($M$2:M52,M52))</f>
        <v/>
      </c>
    </row>
    <row r="53" spans="1:14" x14ac:dyDescent="0.3">
      <c r="A53" s="3" t="str">
        <f t="shared" si="0"/>
        <v/>
      </c>
      <c r="M53" s="3" t="str">
        <f>IF(B53="","","PF"&amp;"_"&amp;IFERROR(VLOOKUP(B53,LOOKUPS!$K$2:$L$10,2,FALSE),"UNK")&amp;"_"&amp;IFERROR(VLOOKUP(C53,LOOKUPS!$N$2:$O$10,2,FALSE),"UNK")&amp;"_"&amp;UPPER(L53))</f>
        <v/>
      </c>
      <c r="N53" s="3" t="str">
        <f>IF(M53="","",COUNTIF($M$2:M53,M53))</f>
        <v/>
      </c>
    </row>
    <row r="54" spans="1:14" x14ac:dyDescent="0.3">
      <c r="A54" s="3" t="str">
        <f t="shared" si="0"/>
        <v/>
      </c>
      <c r="M54" s="3" t="str">
        <f>IF(B54="","","PF"&amp;"_"&amp;IFERROR(VLOOKUP(B54,LOOKUPS!$K$2:$L$10,2,FALSE),"UNK")&amp;"_"&amp;IFERROR(VLOOKUP(C54,LOOKUPS!$N$2:$O$10,2,FALSE),"UNK")&amp;"_"&amp;UPPER(L54))</f>
        <v/>
      </c>
      <c r="N54" s="3" t="str">
        <f>IF(M54="","",COUNTIF($M$2:M54,M54))</f>
        <v/>
      </c>
    </row>
    <row r="55" spans="1:14" x14ac:dyDescent="0.3">
      <c r="A55" s="3" t="str">
        <f t="shared" si="0"/>
        <v/>
      </c>
      <c r="M55" s="3" t="str">
        <f>IF(B55="","","PF"&amp;"_"&amp;IFERROR(VLOOKUP(B55,LOOKUPS!$K$2:$L$10,2,FALSE),"UNK")&amp;"_"&amp;IFERROR(VLOOKUP(C55,LOOKUPS!$N$2:$O$10,2,FALSE),"UNK")&amp;"_"&amp;UPPER(L55))</f>
        <v/>
      </c>
      <c r="N55" s="3" t="str">
        <f>IF(M55="","",COUNTIF($M$2:M55,M55))</f>
        <v/>
      </c>
    </row>
    <row r="56" spans="1:14" x14ac:dyDescent="0.3">
      <c r="A56" s="3" t="str">
        <f t="shared" si="0"/>
        <v/>
      </c>
      <c r="M56" s="3" t="str">
        <f>IF(B56="","","PF"&amp;"_"&amp;IFERROR(VLOOKUP(B56,LOOKUPS!$K$2:$L$10,2,FALSE),"UNK")&amp;"_"&amp;IFERROR(VLOOKUP(C56,LOOKUPS!$N$2:$O$10,2,FALSE),"UNK")&amp;"_"&amp;UPPER(L56))</f>
        <v/>
      </c>
      <c r="N56" s="3" t="str">
        <f>IF(M56="","",COUNTIF($M$2:M56,M56))</f>
        <v/>
      </c>
    </row>
    <row r="57" spans="1:14" x14ac:dyDescent="0.3">
      <c r="A57" s="3" t="str">
        <f t="shared" si="0"/>
        <v/>
      </c>
      <c r="M57" s="3" t="str">
        <f>IF(B57="","","PF"&amp;"_"&amp;IFERROR(VLOOKUP(B57,LOOKUPS!$K$2:$L$10,2,FALSE),"UNK")&amp;"_"&amp;IFERROR(VLOOKUP(C57,LOOKUPS!$N$2:$O$10,2,FALSE),"UNK")&amp;"_"&amp;UPPER(L57))</f>
        <v/>
      </c>
      <c r="N57" s="3" t="str">
        <f>IF(M57="","",COUNTIF($M$2:M57,M57))</f>
        <v/>
      </c>
    </row>
    <row r="58" spans="1:14" x14ac:dyDescent="0.3">
      <c r="A58" s="3" t="str">
        <f t="shared" si="0"/>
        <v/>
      </c>
      <c r="M58" s="3" t="str">
        <f>IF(B58="","","PF"&amp;"_"&amp;IFERROR(VLOOKUP(B58,LOOKUPS!$K$2:$L$10,2,FALSE),"UNK")&amp;"_"&amp;IFERROR(VLOOKUP(C58,LOOKUPS!$N$2:$O$10,2,FALSE),"UNK")&amp;"_"&amp;UPPER(L58))</f>
        <v/>
      </c>
      <c r="N58" s="3" t="str">
        <f>IF(M58="","",COUNTIF($M$2:M58,M58))</f>
        <v/>
      </c>
    </row>
    <row r="59" spans="1:14" x14ac:dyDescent="0.3">
      <c r="A59" s="3" t="str">
        <f t="shared" si="0"/>
        <v/>
      </c>
      <c r="M59" s="3" t="str">
        <f>IF(B59="","","PF"&amp;"_"&amp;IFERROR(VLOOKUP(B59,LOOKUPS!$K$2:$L$10,2,FALSE),"UNK")&amp;"_"&amp;IFERROR(VLOOKUP(C59,LOOKUPS!$N$2:$O$10,2,FALSE),"UNK")&amp;"_"&amp;UPPER(L59))</f>
        <v/>
      </c>
      <c r="N59" s="3" t="str">
        <f>IF(M59="","",COUNTIF($M$2:M59,M59))</f>
        <v/>
      </c>
    </row>
    <row r="60" spans="1:14" x14ac:dyDescent="0.3">
      <c r="A60" s="3" t="str">
        <f t="shared" si="0"/>
        <v/>
      </c>
      <c r="M60" s="3" t="str">
        <f>IF(B60="","","PF"&amp;"_"&amp;IFERROR(VLOOKUP(B60,LOOKUPS!$K$2:$L$10,2,FALSE),"UNK")&amp;"_"&amp;IFERROR(VLOOKUP(C60,LOOKUPS!$N$2:$O$10,2,FALSE),"UNK")&amp;"_"&amp;UPPER(L60))</f>
        <v/>
      </c>
      <c r="N60" s="3" t="str">
        <f>IF(M60="","",COUNTIF($M$2:M60,M60))</f>
        <v/>
      </c>
    </row>
    <row r="61" spans="1:14" x14ac:dyDescent="0.3">
      <c r="A61" s="3" t="str">
        <f t="shared" si="0"/>
        <v/>
      </c>
      <c r="M61" s="3" t="str">
        <f>IF(B61="","","PF"&amp;"_"&amp;IFERROR(VLOOKUP(B61,LOOKUPS!$K$2:$L$10,2,FALSE),"UNK")&amp;"_"&amp;IFERROR(VLOOKUP(C61,LOOKUPS!$N$2:$O$10,2,FALSE),"UNK")&amp;"_"&amp;UPPER(L61))</f>
        <v/>
      </c>
      <c r="N61" s="3" t="str">
        <f>IF(M61="","",COUNTIF($M$2:M61,M61))</f>
        <v/>
      </c>
    </row>
    <row r="62" spans="1:14" x14ac:dyDescent="0.3">
      <c r="A62" s="3" t="str">
        <f t="shared" si="0"/>
        <v/>
      </c>
      <c r="M62" s="3" t="str">
        <f>IF(B62="","","PF"&amp;"_"&amp;IFERROR(VLOOKUP(B62,LOOKUPS!$K$2:$L$10,2,FALSE),"UNK")&amp;"_"&amp;IFERROR(VLOOKUP(C62,LOOKUPS!$N$2:$O$10,2,FALSE),"UNK")&amp;"_"&amp;UPPER(L62))</f>
        <v/>
      </c>
      <c r="N62" s="3" t="str">
        <f>IF(M62="","",COUNTIF($M$2:M62,M62))</f>
        <v/>
      </c>
    </row>
    <row r="63" spans="1:14" x14ac:dyDescent="0.3">
      <c r="A63" s="3" t="str">
        <f t="shared" si="0"/>
        <v/>
      </c>
      <c r="M63" s="3" t="str">
        <f>IF(B63="","","PF"&amp;"_"&amp;IFERROR(VLOOKUP(B63,LOOKUPS!$K$2:$L$10,2,FALSE),"UNK")&amp;"_"&amp;IFERROR(VLOOKUP(C63,LOOKUPS!$N$2:$O$10,2,FALSE),"UNK")&amp;"_"&amp;UPPER(L63))</f>
        <v/>
      </c>
      <c r="N63" s="3" t="str">
        <f>IF(M63="","",COUNTIF($M$2:M63,M63))</f>
        <v/>
      </c>
    </row>
    <row r="64" spans="1:14" x14ac:dyDescent="0.3">
      <c r="A64" s="3" t="str">
        <f t="shared" si="0"/>
        <v/>
      </c>
      <c r="M64" s="3" t="str">
        <f>IF(B64="","","PF"&amp;"_"&amp;IFERROR(VLOOKUP(B64,LOOKUPS!$K$2:$L$10,2,FALSE),"UNK")&amp;"_"&amp;IFERROR(VLOOKUP(C64,LOOKUPS!$N$2:$O$10,2,FALSE),"UNK")&amp;"_"&amp;UPPER(L64))</f>
        <v/>
      </c>
      <c r="N64" s="3" t="str">
        <f>IF(M64="","",COUNTIF($M$2:M64,M64))</f>
        <v/>
      </c>
    </row>
    <row r="65" spans="1:14" x14ac:dyDescent="0.3">
      <c r="A65" s="3" t="str">
        <f t="shared" si="0"/>
        <v/>
      </c>
      <c r="M65" s="3" t="str">
        <f>IF(B65="","","PF"&amp;"_"&amp;IFERROR(VLOOKUP(B65,LOOKUPS!$K$2:$L$10,2,FALSE),"UNK")&amp;"_"&amp;IFERROR(VLOOKUP(C65,LOOKUPS!$N$2:$O$10,2,FALSE),"UNK")&amp;"_"&amp;UPPER(L65))</f>
        <v/>
      </c>
      <c r="N65" s="3" t="str">
        <f>IF(M65="","",COUNTIF($M$2:M65,M65))</f>
        <v/>
      </c>
    </row>
    <row r="66" spans="1:14" x14ac:dyDescent="0.3">
      <c r="A66" s="3" t="str">
        <f t="shared" si="0"/>
        <v/>
      </c>
      <c r="M66" s="3" t="str">
        <f>IF(B66="","","PF"&amp;"_"&amp;IFERROR(VLOOKUP(B66,LOOKUPS!$K$2:$L$10,2,FALSE),"UNK")&amp;"_"&amp;IFERROR(VLOOKUP(C66,LOOKUPS!$N$2:$O$10,2,FALSE),"UNK")&amp;"_"&amp;UPPER(L66))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IF(B67="","","PF"&amp;"_"&amp;IFERROR(VLOOKUP(B67,LOOKUPS!$K$2:$L$10,2,FALSE),"UNK")&amp;"_"&amp;IFERROR(VLOOKUP(C67,LOOKUPS!$N$2:$O$10,2,FALSE),"UNK")&amp;"_"&amp;UPPER(L67))</f>
        <v/>
      </c>
      <c r="N67" s="3" t="str">
        <f>IF(M67="","",COUNTIF($M$2:M67,M67))</f>
        <v/>
      </c>
    </row>
    <row r="68" spans="1:14" x14ac:dyDescent="0.3">
      <c r="A68" s="3" t="str">
        <f t="shared" si="1"/>
        <v/>
      </c>
      <c r="M68" s="3" t="str">
        <f>IF(B68="","","PF"&amp;"_"&amp;IFERROR(VLOOKUP(B68,LOOKUPS!$K$2:$L$10,2,FALSE),"UNK")&amp;"_"&amp;IFERROR(VLOOKUP(C68,LOOKUPS!$N$2:$O$10,2,FALSE),"UNK")&amp;"_"&amp;UPPER(L68))</f>
        <v/>
      </c>
      <c r="N68" s="3" t="str">
        <f>IF(M68="","",COUNTIF($M$2:M68,M68))</f>
        <v/>
      </c>
    </row>
    <row r="69" spans="1:14" x14ac:dyDescent="0.3">
      <c r="A69" s="3" t="str">
        <f t="shared" si="1"/>
        <v/>
      </c>
      <c r="M69" s="3" t="str">
        <f>IF(B69="","","PF"&amp;"_"&amp;IFERROR(VLOOKUP(B69,LOOKUPS!$K$2:$L$10,2,FALSE),"UNK")&amp;"_"&amp;IFERROR(VLOOKUP(C69,LOOKUPS!$N$2:$O$10,2,FALSE),"UNK")&amp;"_"&amp;UPPER(L69))</f>
        <v/>
      </c>
      <c r="N69" s="3" t="str">
        <f>IF(M69="","",COUNTIF($M$2:M69,M69))</f>
        <v/>
      </c>
    </row>
    <row r="70" spans="1:14" x14ac:dyDescent="0.3">
      <c r="A70" s="3" t="str">
        <f t="shared" si="1"/>
        <v/>
      </c>
      <c r="M70" s="3" t="str">
        <f>IF(B70="","","PF"&amp;"_"&amp;IFERROR(VLOOKUP(B70,LOOKUPS!$K$2:$L$10,2,FALSE),"UNK")&amp;"_"&amp;IFERROR(VLOOKUP(C70,LOOKUPS!$N$2:$O$10,2,FALSE),"UNK")&amp;"_"&amp;UPPER(L70))</f>
        <v/>
      </c>
      <c r="N70" s="3" t="str">
        <f>IF(M70="","",COUNTIF($M$2:M70,M70))</f>
        <v/>
      </c>
    </row>
    <row r="71" spans="1:14" x14ac:dyDescent="0.3">
      <c r="A71" s="3" t="str">
        <f t="shared" si="1"/>
        <v/>
      </c>
      <c r="M71" s="3" t="str">
        <f>IF(B71="","","PF"&amp;"_"&amp;IFERROR(VLOOKUP(B71,LOOKUPS!$K$2:$L$10,2,FALSE),"UNK")&amp;"_"&amp;IFERROR(VLOOKUP(C71,LOOKUPS!$N$2:$O$10,2,FALSE),"UNK")&amp;"_"&amp;UPPER(L71))</f>
        <v/>
      </c>
      <c r="N71" s="3" t="str">
        <f>IF(M71="","",COUNTIF($M$2:M71,M71))</f>
        <v/>
      </c>
    </row>
    <row r="72" spans="1:14" x14ac:dyDescent="0.3">
      <c r="A72" s="3" t="str">
        <f t="shared" si="1"/>
        <v/>
      </c>
      <c r="M72" s="3" t="str">
        <f>IF(B72="","","PF"&amp;"_"&amp;IFERROR(VLOOKUP(B72,LOOKUPS!$K$2:$L$10,2,FALSE),"UNK")&amp;"_"&amp;IFERROR(VLOOKUP(C72,LOOKUPS!$N$2:$O$10,2,FALSE),"UNK")&amp;"_"&amp;UPPER(L72))</f>
        <v/>
      </c>
      <c r="N72" s="3" t="str">
        <f>IF(M72="","",COUNTIF($M$2:M72,M72))</f>
        <v/>
      </c>
    </row>
    <row r="73" spans="1:14" x14ac:dyDescent="0.3">
      <c r="A73" s="3" t="str">
        <f t="shared" si="1"/>
        <v/>
      </c>
      <c r="M73" s="3" t="str">
        <f>IF(B73="","","PF"&amp;"_"&amp;IFERROR(VLOOKUP(B73,LOOKUPS!$K$2:$L$10,2,FALSE),"UNK")&amp;"_"&amp;IFERROR(VLOOKUP(C73,LOOKUPS!$N$2:$O$10,2,FALSE),"UNK")&amp;"_"&amp;UPPER(L73))</f>
        <v/>
      </c>
      <c r="N73" s="3" t="str">
        <f>IF(M73="","",COUNTIF($M$2:M73,M73))</f>
        <v/>
      </c>
    </row>
    <row r="74" spans="1:14" x14ac:dyDescent="0.3">
      <c r="A74" s="3" t="str">
        <f t="shared" si="1"/>
        <v/>
      </c>
      <c r="M74" s="3" t="str">
        <f>IF(B74="","","PF"&amp;"_"&amp;IFERROR(VLOOKUP(B74,LOOKUPS!$K$2:$L$10,2,FALSE),"UNK")&amp;"_"&amp;IFERROR(VLOOKUP(C74,LOOKUPS!$N$2:$O$10,2,FALSE),"UNK")&amp;"_"&amp;UPPER(L74))</f>
        <v/>
      </c>
      <c r="N74" s="3" t="str">
        <f>IF(M74="","",COUNTIF($M$2:M74,M74))</f>
        <v/>
      </c>
    </row>
    <row r="75" spans="1:14" x14ac:dyDescent="0.3">
      <c r="A75" s="3" t="str">
        <f t="shared" si="1"/>
        <v/>
      </c>
      <c r="M75" s="3" t="str">
        <f>IF(B75="","","PF"&amp;"_"&amp;IFERROR(VLOOKUP(B75,LOOKUPS!$K$2:$L$10,2,FALSE),"UNK")&amp;"_"&amp;IFERROR(VLOOKUP(C75,LOOKUPS!$N$2:$O$10,2,FALSE),"UNK")&amp;"_"&amp;UPPER(L75))</f>
        <v/>
      </c>
      <c r="N75" s="3" t="str">
        <f>IF(M75="","",COUNTIF($M$2:M75,M75))</f>
        <v/>
      </c>
    </row>
    <row r="76" spans="1:14" x14ac:dyDescent="0.3">
      <c r="A76" s="3" t="str">
        <f t="shared" si="1"/>
        <v/>
      </c>
      <c r="M76" s="3" t="str">
        <f>IF(B76="","","PF"&amp;"_"&amp;IFERROR(VLOOKUP(B76,LOOKUPS!$K$2:$L$10,2,FALSE),"UNK")&amp;"_"&amp;IFERROR(VLOOKUP(C76,LOOKUPS!$N$2:$O$10,2,FALSE),"UNK")&amp;"_"&amp;UPPER(L76))</f>
        <v/>
      </c>
      <c r="N76" s="3" t="str">
        <f>IF(M76="","",COUNTIF($M$2:M76,M76))</f>
        <v/>
      </c>
    </row>
    <row r="77" spans="1:14" x14ac:dyDescent="0.3">
      <c r="A77" s="3" t="str">
        <f t="shared" si="1"/>
        <v/>
      </c>
      <c r="M77" s="3" t="str">
        <f>IF(B77="","","PF"&amp;"_"&amp;IFERROR(VLOOKUP(B77,LOOKUPS!$K$2:$L$10,2,FALSE),"UNK")&amp;"_"&amp;IFERROR(VLOOKUP(C77,LOOKUPS!$N$2:$O$10,2,FALSE),"UNK")&amp;"_"&amp;UPPER(L77))</f>
        <v/>
      </c>
      <c r="N77" s="3" t="str">
        <f>IF(M77="","",COUNTIF($M$2:M77,M77))</f>
        <v/>
      </c>
    </row>
    <row r="78" spans="1:14" x14ac:dyDescent="0.3">
      <c r="A78" s="3" t="str">
        <f t="shared" si="1"/>
        <v/>
      </c>
      <c r="M78" s="3" t="str">
        <f>IF(B78="","","PF"&amp;"_"&amp;IFERROR(VLOOKUP(B78,LOOKUPS!$K$2:$L$10,2,FALSE),"UNK")&amp;"_"&amp;IFERROR(VLOOKUP(C78,LOOKUPS!$N$2:$O$10,2,FALSE),"UNK")&amp;"_"&amp;UPPER(L78))</f>
        <v/>
      </c>
      <c r="N78" s="3" t="str">
        <f>IF(M78="","",COUNTIF($M$2:M78,M78))</f>
        <v/>
      </c>
    </row>
    <row r="79" spans="1:14" x14ac:dyDescent="0.3">
      <c r="A79" s="3" t="str">
        <f t="shared" si="1"/>
        <v/>
      </c>
      <c r="M79" s="3" t="str">
        <f>IF(B79="","","PF"&amp;"_"&amp;IFERROR(VLOOKUP(B79,LOOKUPS!$K$2:$L$10,2,FALSE),"UNK")&amp;"_"&amp;IFERROR(VLOOKUP(C79,LOOKUPS!$N$2:$O$10,2,FALSE),"UNK")&amp;"_"&amp;UPPER(L79))</f>
        <v/>
      </c>
      <c r="N79" s="3" t="str">
        <f>IF(M79="","",COUNTIF($M$2:M79,M79))</f>
        <v/>
      </c>
    </row>
    <row r="80" spans="1:14" x14ac:dyDescent="0.3">
      <c r="A80" s="3" t="str">
        <f t="shared" si="1"/>
        <v/>
      </c>
      <c r="M80" s="3" t="str">
        <f>IF(B80="","","PF"&amp;"_"&amp;IFERROR(VLOOKUP(B80,LOOKUPS!$K$2:$L$10,2,FALSE),"UNK")&amp;"_"&amp;IFERROR(VLOOKUP(C80,LOOKUPS!$N$2:$O$10,2,FALSE),"UNK")&amp;"_"&amp;UPPER(L80))</f>
        <v/>
      </c>
      <c r="N80" s="3" t="str">
        <f>IF(M80="","",COUNTIF($M$2:M80,M80))</f>
        <v/>
      </c>
    </row>
    <row r="81" spans="1:14" x14ac:dyDescent="0.3">
      <c r="A81" s="3" t="str">
        <f t="shared" si="1"/>
        <v/>
      </c>
      <c r="M81" s="3" t="str">
        <f>IF(B81="","","PF"&amp;"_"&amp;IFERROR(VLOOKUP(B81,LOOKUPS!$K$2:$L$10,2,FALSE),"UNK")&amp;"_"&amp;IFERROR(VLOOKUP(C81,LOOKUPS!$N$2:$O$10,2,FALSE),"UNK")&amp;"_"&amp;UPPER(L81))</f>
        <v/>
      </c>
      <c r="N81" s="3" t="str">
        <f>IF(M81="","",COUNTIF($M$2:M81,M81))</f>
        <v/>
      </c>
    </row>
    <row r="82" spans="1:14" x14ac:dyDescent="0.3">
      <c r="A82" s="3" t="str">
        <f t="shared" si="1"/>
        <v/>
      </c>
      <c r="M82" s="3" t="str">
        <f>IF(B82="","","PF"&amp;"_"&amp;IFERROR(VLOOKUP(B82,LOOKUPS!$K$2:$L$10,2,FALSE),"UNK")&amp;"_"&amp;IFERROR(VLOOKUP(C82,LOOKUPS!$N$2:$O$10,2,FALSE),"UNK")&amp;"_"&amp;UPPER(L82))</f>
        <v/>
      </c>
      <c r="N82" s="3" t="str">
        <f>IF(M82="","",COUNTIF($M$2:M82,M82))</f>
        <v/>
      </c>
    </row>
    <row r="83" spans="1:14" x14ac:dyDescent="0.3">
      <c r="A83" s="3" t="str">
        <f t="shared" si="1"/>
        <v/>
      </c>
      <c r="M83" s="3" t="str">
        <f>IF(B83="","","PF"&amp;"_"&amp;IFERROR(VLOOKUP(B83,LOOKUPS!$K$2:$L$10,2,FALSE),"UNK")&amp;"_"&amp;IFERROR(VLOOKUP(C83,LOOKUPS!$N$2:$O$10,2,FALSE),"UNK")&amp;"_"&amp;UPPER(L83))</f>
        <v/>
      </c>
      <c r="N83" s="3" t="str">
        <f>IF(M83="","",COUNTIF($M$2:M83,M83))</f>
        <v/>
      </c>
    </row>
    <row r="84" spans="1:14" x14ac:dyDescent="0.3">
      <c r="A84" s="3" t="str">
        <f t="shared" si="1"/>
        <v/>
      </c>
      <c r="M84" s="3" t="str">
        <f>IF(B84="","","PF"&amp;"_"&amp;IFERROR(VLOOKUP(B84,LOOKUPS!$K$2:$L$10,2,FALSE),"UNK")&amp;"_"&amp;IFERROR(VLOOKUP(C84,LOOKUPS!$N$2:$O$10,2,FALSE),"UNK")&amp;"_"&amp;UPPER(L84))</f>
        <v/>
      </c>
      <c r="N84" s="3" t="str">
        <f>IF(M84="","",COUNTIF($M$2:M84,M84))</f>
        <v/>
      </c>
    </row>
    <row r="85" spans="1:14" x14ac:dyDescent="0.3">
      <c r="A85" s="3" t="str">
        <f t="shared" si="1"/>
        <v/>
      </c>
      <c r="M85" s="3" t="str">
        <f>IF(B85="","","PF"&amp;"_"&amp;IFERROR(VLOOKUP(B85,LOOKUPS!$K$2:$L$10,2,FALSE),"UNK")&amp;"_"&amp;IFERROR(VLOOKUP(C85,LOOKUPS!$N$2:$O$10,2,FALSE),"UNK")&amp;"_"&amp;UPPER(L85))</f>
        <v/>
      </c>
      <c r="N85" s="3" t="str">
        <f>IF(M85="","",COUNTIF($M$2:M85,M85))</f>
        <v/>
      </c>
    </row>
    <row r="86" spans="1:14" x14ac:dyDescent="0.3">
      <c r="A86" s="3" t="str">
        <f t="shared" si="1"/>
        <v/>
      </c>
      <c r="M86" s="3" t="str">
        <f>IF(B86="","","PF"&amp;"_"&amp;IFERROR(VLOOKUP(B86,LOOKUPS!$K$2:$L$10,2,FALSE),"UNK")&amp;"_"&amp;IFERROR(VLOOKUP(C86,LOOKUPS!$N$2:$O$10,2,FALSE),"UNK")&amp;"_"&amp;UPPER(L86))</f>
        <v/>
      </c>
      <c r="N86" s="3" t="str">
        <f>IF(M86="","",COUNTIF($M$2:M86,M86))</f>
        <v/>
      </c>
    </row>
    <row r="87" spans="1:14" x14ac:dyDescent="0.3">
      <c r="A87" s="3" t="str">
        <f t="shared" si="1"/>
        <v/>
      </c>
      <c r="M87" s="3" t="str">
        <f>IF(B87="","","PF"&amp;"_"&amp;IFERROR(VLOOKUP(B87,LOOKUPS!$K$2:$L$10,2,FALSE),"UNK")&amp;"_"&amp;IFERROR(VLOOKUP(C87,LOOKUPS!$N$2:$O$10,2,FALSE),"UNK")&amp;"_"&amp;UPPER(L87))</f>
        <v/>
      </c>
      <c r="N87" s="3" t="str">
        <f>IF(M87="","",COUNTIF($M$2:M87,M87))</f>
        <v/>
      </c>
    </row>
    <row r="88" spans="1:14" x14ac:dyDescent="0.3">
      <c r="A88" s="3" t="str">
        <f t="shared" si="1"/>
        <v/>
      </c>
      <c r="M88" s="3" t="str">
        <f>IF(B88="","","PF"&amp;"_"&amp;IFERROR(VLOOKUP(B88,LOOKUPS!$K$2:$L$10,2,FALSE),"UNK")&amp;"_"&amp;IFERROR(VLOOKUP(C88,LOOKUPS!$N$2:$O$10,2,FALSE),"UNK")&amp;"_"&amp;UPPER(L88))</f>
        <v/>
      </c>
      <c r="N88" s="3" t="str">
        <f>IF(M88="","",COUNTIF($M$2:M88,M88))</f>
        <v/>
      </c>
    </row>
    <row r="89" spans="1:14" x14ac:dyDescent="0.3">
      <c r="A89" s="3" t="str">
        <f t="shared" si="1"/>
        <v/>
      </c>
      <c r="M89" s="3" t="str">
        <f>IF(B89="","","PF"&amp;"_"&amp;IFERROR(VLOOKUP(B89,LOOKUPS!$K$2:$L$10,2,FALSE),"UNK")&amp;"_"&amp;IFERROR(VLOOKUP(C89,LOOKUPS!$N$2:$O$10,2,FALSE),"UNK")&amp;"_"&amp;UPPER(L89))</f>
        <v/>
      </c>
      <c r="N89" s="3" t="str">
        <f>IF(M89="","",COUNTIF($M$2:M89,M89))</f>
        <v/>
      </c>
    </row>
    <row r="90" spans="1:14" x14ac:dyDescent="0.3">
      <c r="A90" s="3" t="str">
        <f t="shared" si="1"/>
        <v/>
      </c>
      <c r="M90" s="3" t="str">
        <f>IF(B90="","","PF"&amp;"_"&amp;IFERROR(VLOOKUP(B90,LOOKUPS!$K$2:$L$10,2,FALSE),"UNK")&amp;"_"&amp;IFERROR(VLOOKUP(C90,LOOKUPS!$N$2:$O$10,2,FALSE),"UNK")&amp;"_"&amp;UPPER(L90))</f>
        <v/>
      </c>
      <c r="N90" s="3" t="str">
        <f>IF(M90="","",COUNTIF($M$2:M90,M90))</f>
        <v/>
      </c>
    </row>
    <row r="91" spans="1:14" x14ac:dyDescent="0.3">
      <c r="A91" s="3" t="str">
        <f t="shared" si="1"/>
        <v/>
      </c>
      <c r="M91" s="3" t="str">
        <f>IF(B91="","","PF"&amp;"_"&amp;IFERROR(VLOOKUP(B91,LOOKUPS!$K$2:$L$10,2,FALSE),"UNK")&amp;"_"&amp;IFERROR(VLOOKUP(C91,LOOKUPS!$N$2:$O$10,2,FALSE),"UNK")&amp;"_"&amp;UPPER(L91))</f>
        <v/>
      </c>
      <c r="N91" s="3" t="str">
        <f>IF(M91="","",COUNTIF($M$2:M91,M91))</f>
        <v/>
      </c>
    </row>
    <row r="92" spans="1:14" x14ac:dyDescent="0.3">
      <c r="A92" s="3" t="str">
        <f t="shared" si="1"/>
        <v/>
      </c>
      <c r="M92" s="3" t="str">
        <f>IF(B92="","","PF"&amp;"_"&amp;IFERROR(VLOOKUP(B92,LOOKUPS!$K$2:$L$10,2,FALSE),"UNK")&amp;"_"&amp;IFERROR(VLOOKUP(C92,LOOKUPS!$N$2:$O$10,2,FALSE),"UNK")&amp;"_"&amp;UPPER(L92))</f>
        <v/>
      </c>
      <c r="N92" s="3" t="str">
        <f>IF(M92="","",COUNTIF($M$2:M92,M92))</f>
        <v/>
      </c>
    </row>
    <row r="93" spans="1:14" x14ac:dyDescent="0.3">
      <c r="A93" s="3" t="str">
        <f t="shared" si="1"/>
        <v/>
      </c>
      <c r="M93" s="3" t="str">
        <f>IF(B93="","","PF"&amp;"_"&amp;IFERROR(VLOOKUP(B93,LOOKUPS!$K$2:$L$10,2,FALSE),"UNK")&amp;"_"&amp;IFERROR(VLOOKUP(C93,LOOKUPS!$N$2:$O$10,2,FALSE),"UNK")&amp;"_"&amp;UPPER(L93))</f>
        <v/>
      </c>
      <c r="N93" s="3" t="str">
        <f>IF(M93="","",COUNTIF($M$2:M93,M93))</f>
        <v/>
      </c>
    </row>
    <row r="94" spans="1:14" x14ac:dyDescent="0.3">
      <c r="A94" s="3" t="str">
        <f t="shared" si="1"/>
        <v/>
      </c>
      <c r="M94" s="3" t="str">
        <f>IF(B94="","","PF"&amp;"_"&amp;IFERROR(VLOOKUP(B94,LOOKUPS!$K$2:$L$10,2,FALSE),"UNK")&amp;"_"&amp;IFERROR(VLOOKUP(C94,LOOKUPS!$N$2:$O$10,2,FALSE),"UNK")&amp;"_"&amp;UPPER(L94))</f>
        <v/>
      </c>
      <c r="N94" s="3" t="str">
        <f>IF(M94="","",COUNTIF($M$2:M94,M94))</f>
        <v/>
      </c>
    </row>
    <row r="95" spans="1:14" x14ac:dyDescent="0.3">
      <c r="A95" s="3" t="str">
        <f t="shared" si="1"/>
        <v/>
      </c>
      <c r="M95" s="3" t="str">
        <f>IF(B95="","","PF"&amp;"_"&amp;IFERROR(VLOOKUP(B95,LOOKUPS!$K$2:$L$10,2,FALSE),"UNK")&amp;"_"&amp;IFERROR(VLOOKUP(C95,LOOKUPS!$N$2:$O$10,2,FALSE),"UNK")&amp;"_"&amp;UPPER(L95))</f>
        <v/>
      </c>
      <c r="N95" s="3" t="str">
        <f>IF(M95="","",COUNTIF($M$2:M95,M95))</f>
        <v/>
      </c>
    </row>
    <row r="96" spans="1:14" x14ac:dyDescent="0.3">
      <c r="A96" s="3" t="str">
        <f t="shared" si="1"/>
        <v/>
      </c>
      <c r="M96" s="3" t="str">
        <f>IF(B96="","","PF"&amp;"_"&amp;IFERROR(VLOOKUP(B96,LOOKUPS!$K$2:$L$10,2,FALSE),"UNK")&amp;"_"&amp;IFERROR(VLOOKUP(C96,LOOKUPS!$N$2:$O$10,2,FALSE),"UNK")&amp;"_"&amp;UPPER(L96))</f>
        <v/>
      </c>
      <c r="N96" s="3" t="str">
        <f>IF(M96="","",COUNTIF($M$2:M96,M96))</f>
        <v/>
      </c>
    </row>
    <row r="97" spans="1:14" x14ac:dyDescent="0.3">
      <c r="A97" s="3" t="str">
        <f t="shared" si="1"/>
        <v/>
      </c>
      <c r="M97" s="3" t="str">
        <f>IF(B97="","","PF"&amp;"_"&amp;IFERROR(VLOOKUP(B97,LOOKUPS!$K$2:$L$10,2,FALSE),"UNK")&amp;"_"&amp;IFERROR(VLOOKUP(C97,LOOKUPS!$N$2:$O$10,2,FALSE),"UNK")&amp;"_"&amp;UPPER(L97))</f>
        <v/>
      </c>
      <c r="N97" s="3" t="str">
        <f>IF(M97="","",COUNTIF($M$2:M97,M97))</f>
        <v/>
      </c>
    </row>
    <row r="98" spans="1:14" x14ac:dyDescent="0.3">
      <c r="A98" s="3" t="str">
        <f t="shared" si="1"/>
        <v/>
      </c>
      <c r="M98" s="3" t="str">
        <f>IF(B98="","","PF"&amp;"_"&amp;IFERROR(VLOOKUP(B98,LOOKUPS!$K$2:$L$10,2,FALSE),"UNK")&amp;"_"&amp;IFERROR(VLOOKUP(C98,LOOKUPS!$N$2:$O$10,2,FALSE),"UNK")&amp;"_"&amp;UPPER(L98))</f>
        <v/>
      </c>
      <c r="N98" s="3" t="str">
        <f>IF(M98="","",COUNTIF($M$2:M98,M98))</f>
        <v/>
      </c>
    </row>
    <row r="99" spans="1:14" x14ac:dyDescent="0.3">
      <c r="A99" s="3" t="str">
        <f t="shared" si="1"/>
        <v/>
      </c>
      <c r="M99" s="3" t="str">
        <f>IF(B99="","","PF"&amp;"_"&amp;IFERROR(VLOOKUP(B99,LOOKUPS!$K$2:$L$10,2,FALSE),"UNK")&amp;"_"&amp;IFERROR(VLOOKUP(C99,LOOKUPS!$N$2:$O$10,2,FALSE),"UNK")&amp;"_"&amp;UPPER(L99))</f>
        <v/>
      </c>
      <c r="N99" s="3" t="str">
        <f>IF(M99="","",COUNTIF($M$2:M99,M99))</f>
        <v/>
      </c>
    </row>
    <row r="100" spans="1:14" x14ac:dyDescent="0.3">
      <c r="A100" s="3" t="str">
        <f t="shared" si="1"/>
        <v/>
      </c>
      <c r="M100" s="3" t="str">
        <f>IF(B100="","","PF"&amp;"_"&amp;IFERROR(VLOOKUP(B100,LOOKUPS!$K$2:$L$10,2,FALSE),"UNK")&amp;"_"&amp;IFERROR(VLOOKUP(C100,LOOKUPS!$N$2:$O$10,2,FALSE),"UNK")&amp;"_"&amp;UPPER(L100))</f>
        <v/>
      </c>
      <c r="N100" s="3" t="str">
        <f>IF(M100="","",COUNTIF($M$2:M100,M100))</f>
        <v/>
      </c>
    </row>
    <row r="101" spans="1:14" x14ac:dyDescent="0.3">
      <c r="A101" s="3" t="str">
        <f t="shared" si="1"/>
        <v/>
      </c>
      <c r="M101" s="3" t="str">
        <f>IF(B101="","","PF"&amp;"_"&amp;IFERROR(VLOOKUP(B101,LOOKUPS!$K$2:$L$10,2,FALSE),"UNK")&amp;"_"&amp;IFERROR(VLOOKUP(C101,LOOKUPS!$N$2:$O$10,2,FALSE),"UNK")&amp;"_"&amp;UPPER(L101))</f>
        <v/>
      </c>
      <c r="N101" s="3" t="str">
        <f>IF(M101="","",COUNTIF($M$2:M101,M101))</f>
        <v/>
      </c>
    </row>
    <row r="102" spans="1:14" x14ac:dyDescent="0.3">
      <c r="A102" s="3" t="str">
        <f t="shared" si="1"/>
        <v/>
      </c>
      <c r="M102" s="3" t="str">
        <f>IF(B102="","","PF"&amp;"_"&amp;IFERROR(VLOOKUP(B102,LOOKUPS!$K$2:$L$10,2,FALSE),"UNK")&amp;"_"&amp;IFERROR(VLOOKUP(C102,LOOKUPS!$N$2:$O$10,2,FALSE),"UNK")&amp;"_"&amp;UPPER(L102))</f>
        <v/>
      </c>
      <c r="N102" s="3" t="str">
        <f>IF(M102="","",COUNTIF($M$2:M102,M102))</f>
        <v/>
      </c>
    </row>
    <row r="103" spans="1:14" x14ac:dyDescent="0.3">
      <c r="A103" s="3" t="str">
        <f t="shared" si="1"/>
        <v/>
      </c>
      <c r="M103" s="3" t="str">
        <f>IF(B103="","","PF"&amp;"_"&amp;IFERROR(VLOOKUP(B103,LOOKUPS!$K$2:$L$10,2,FALSE),"UNK")&amp;"_"&amp;IFERROR(VLOOKUP(C103,LOOKUPS!$N$2:$O$10,2,FALSE),"UNK")&amp;"_"&amp;UPPER(L103))</f>
        <v/>
      </c>
      <c r="N103" s="3" t="str">
        <f>IF(M103="","",COUNTIF($M$2:M103,M103))</f>
        <v/>
      </c>
    </row>
    <row r="104" spans="1:14" x14ac:dyDescent="0.3">
      <c r="A104" s="3" t="str">
        <f t="shared" si="1"/>
        <v/>
      </c>
      <c r="M104" s="3" t="str">
        <f>IF(B104="","","PF"&amp;"_"&amp;IFERROR(VLOOKUP(B104,LOOKUPS!$K$2:$L$10,2,FALSE),"UNK")&amp;"_"&amp;IFERROR(VLOOKUP(C104,LOOKUPS!$N$2:$O$10,2,FALSE),"UNK")&amp;"_"&amp;UPPER(L104))</f>
        <v/>
      </c>
      <c r="N104" s="3" t="str">
        <f>IF(M104="","",COUNTIF($M$2:M104,M104))</f>
        <v/>
      </c>
    </row>
    <row r="105" spans="1:14" x14ac:dyDescent="0.3">
      <c r="A105" s="3" t="str">
        <f t="shared" si="1"/>
        <v/>
      </c>
      <c r="M105" s="3" t="str">
        <f>IF(B105="","","PF"&amp;"_"&amp;IFERROR(VLOOKUP(B105,LOOKUPS!$K$2:$L$10,2,FALSE),"UNK")&amp;"_"&amp;IFERROR(VLOOKUP(C105,LOOKUPS!$N$2:$O$10,2,FALSE),"UNK")&amp;"_"&amp;UPPER(L105))</f>
        <v/>
      </c>
      <c r="N105" s="3" t="str">
        <f>IF(M105="","",COUNTIF($M$2:M105,M105))</f>
        <v/>
      </c>
    </row>
    <row r="106" spans="1:14" x14ac:dyDescent="0.3">
      <c r="A106" s="3" t="str">
        <f t="shared" si="1"/>
        <v/>
      </c>
      <c r="M106" s="3" t="str">
        <f>IF(B106="","","PF"&amp;"_"&amp;IFERROR(VLOOKUP(B106,LOOKUPS!$K$2:$L$10,2,FALSE),"UNK")&amp;"_"&amp;IFERROR(VLOOKUP(C106,LOOKUPS!$N$2:$O$10,2,FALSE),"UNK")&amp;"_"&amp;UPPER(L106))</f>
        <v/>
      </c>
      <c r="N106" s="3" t="str">
        <f>IF(M106="","",COUNTIF($M$2:M106,M106))</f>
        <v/>
      </c>
    </row>
    <row r="107" spans="1:14" x14ac:dyDescent="0.3">
      <c r="A107" s="3" t="str">
        <f t="shared" si="1"/>
        <v/>
      </c>
      <c r="M107" s="3" t="str">
        <f>IF(B107="","","PF"&amp;"_"&amp;IFERROR(VLOOKUP(B107,LOOKUPS!$K$2:$L$10,2,FALSE),"UNK")&amp;"_"&amp;IFERROR(VLOOKUP(C107,LOOKUPS!$N$2:$O$10,2,FALSE),"UNK")&amp;"_"&amp;UPPER(L107))</f>
        <v/>
      </c>
      <c r="N107" s="3" t="str">
        <f>IF(M107="","",COUNTIF($M$2:M107,M107))</f>
        <v/>
      </c>
    </row>
    <row r="108" spans="1:14" x14ac:dyDescent="0.3">
      <c r="A108" s="3" t="str">
        <f t="shared" si="1"/>
        <v/>
      </c>
      <c r="M108" s="3" t="str">
        <f>IF(B108="","","PF"&amp;"_"&amp;IFERROR(VLOOKUP(B108,LOOKUPS!$K$2:$L$10,2,FALSE),"UNK")&amp;"_"&amp;IFERROR(VLOOKUP(C108,LOOKUPS!$N$2:$O$10,2,FALSE),"UNK")&amp;"_"&amp;UPPER(L108))</f>
        <v/>
      </c>
      <c r="N108" s="3" t="str">
        <f>IF(M108="","",COUNTIF($M$2:M108,M108))</f>
        <v/>
      </c>
    </row>
    <row r="109" spans="1:14" x14ac:dyDescent="0.3">
      <c r="A109" s="3" t="str">
        <f t="shared" si="1"/>
        <v/>
      </c>
      <c r="M109" s="3" t="str">
        <f>IF(B109="","","PF"&amp;"_"&amp;IFERROR(VLOOKUP(B109,LOOKUPS!$K$2:$L$10,2,FALSE),"UNK")&amp;"_"&amp;IFERROR(VLOOKUP(C109,LOOKUPS!$N$2:$O$10,2,FALSE),"UNK")&amp;"_"&amp;UPPER(L109))</f>
        <v/>
      </c>
      <c r="N109" s="3" t="str">
        <f>IF(M109="","",COUNTIF($M$2:M109,M109))</f>
        <v/>
      </c>
    </row>
    <row r="110" spans="1:14" x14ac:dyDescent="0.3">
      <c r="A110" s="3" t="str">
        <f t="shared" si="1"/>
        <v/>
      </c>
      <c r="M110" s="3" t="str">
        <f>IF(B110="","","PF"&amp;"_"&amp;IFERROR(VLOOKUP(B110,LOOKUPS!$K$2:$L$10,2,FALSE),"UNK")&amp;"_"&amp;IFERROR(VLOOKUP(C110,LOOKUPS!$N$2:$O$10,2,FALSE),"UNK")&amp;"_"&amp;UPPER(L110))</f>
        <v/>
      </c>
      <c r="N110" s="3" t="str">
        <f>IF(M110="","",COUNTIF($M$2:M110,M110))</f>
        <v/>
      </c>
    </row>
    <row r="111" spans="1:14" x14ac:dyDescent="0.3">
      <c r="A111" s="3" t="str">
        <f t="shared" si="1"/>
        <v/>
      </c>
      <c r="M111" s="3" t="str">
        <f>IF(B111="","","PF"&amp;"_"&amp;IFERROR(VLOOKUP(B111,LOOKUPS!$K$2:$L$10,2,FALSE),"UNK")&amp;"_"&amp;IFERROR(VLOOKUP(C111,LOOKUPS!$N$2:$O$10,2,FALSE),"UNK")&amp;"_"&amp;UPPER(L111))</f>
        <v/>
      </c>
      <c r="N111" s="3" t="str">
        <f>IF(M111="","",COUNTIF($M$2:M111,M111))</f>
        <v/>
      </c>
    </row>
    <row r="112" spans="1:14" x14ac:dyDescent="0.3">
      <c r="A112" s="3" t="str">
        <f t="shared" si="1"/>
        <v/>
      </c>
      <c r="M112" s="3" t="str">
        <f>IF(B112="","","PF"&amp;"_"&amp;IFERROR(VLOOKUP(B112,LOOKUPS!$K$2:$L$10,2,FALSE),"UNK")&amp;"_"&amp;IFERROR(VLOOKUP(C112,LOOKUPS!$N$2:$O$10,2,FALSE),"UNK")&amp;"_"&amp;UPPER(L112))</f>
        <v/>
      </c>
      <c r="N112" s="3" t="str">
        <f>IF(M112="","",COUNTIF($M$2:M112,M112))</f>
        <v/>
      </c>
    </row>
    <row r="113" spans="1:14" x14ac:dyDescent="0.3">
      <c r="A113" s="3" t="str">
        <f t="shared" si="1"/>
        <v/>
      </c>
      <c r="M113" s="3" t="str">
        <f>IF(B113="","","PF"&amp;"_"&amp;IFERROR(VLOOKUP(B113,LOOKUPS!$K$2:$L$10,2,FALSE),"UNK")&amp;"_"&amp;IFERROR(VLOOKUP(C113,LOOKUPS!$N$2:$O$10,2,FALSE),"UNK")&amp;"_"&amp;UPPER(L113))</f>
        <v/>
      </c>
      <c r="N113" s="3" t="str">
        <f>IF(M113="","",COUNTIF($M$2:M113,M113))</f>
        <v/>
      </c>
    </row>
    <row r="114" spans="1:14" x14ac:dyDescent="0.3">
      <c r="A114" s="3" t="str">
        <f t="shared" si="1"/>
        <v/>
      </c>
      <c r="M114" s="3" t="str">
        <f>IF(B114="","","PF"&amp;"_"&amp;IFERROR(VLOOKUP(B114,LOOKUPS!$K$2:$L$10,2,FALSE),"UNK")&amp;"_"&amp;IFERROR(VLOOKUP(C114,LOOKUPS!$N$2:$O$10,2,FALSE),"UNK")&amp;"_"&amp;UPPER(L114))</f>
        <v/>
      </c>
      <c r="N114" s="3" t="str">
        <f>IF(M114="","",COUNTIF($M$2:M114,M114))</f>
        <v/>
      </c>
    </row>
    <row r="115" spans="1:14" x14ac:dyDescent="0.3">
      <c r="A115" s="3" t="str">
        <f t="shared" si="1"/>
        <v/>
      </c>
      <c r="M115" s="3" t="str">
        <f>IF(B115="","","PF"&amp;"_"&amp;IFERROR(VLOOKUP(B115,LOOKUPS!$K$2:$L$10,2,FALSE),"UNK")&amp;"_"&amp;IFERROR(VLOOKUP(C115,LOOKUPS!$N$2:$O$10,2,FALSE),"UNK")&amp;"_"&amp;UPPER(L115))</f>
        <v/>
      </c>
      <c r="N115" s="3" t="str">
        <f>IF(M115="","",COUNTIF($M$2:M115,M115))</f>
        <v/>
      </c>
    </row>
    <row r="116" spans="1:14" x14ac:dyDescent="0.3">
      <c r="A116" s="3" t="str">
        <f t="shared" si="1"/>
        <v/>
      </c>
      <c r="M116" s="3" t="str">
        <f>IF(B116="","","PF"&amp;"_"&amp;IFERROR(VLOOKUP(B116,LOOKUPS!$K$2:$L$10,2,FALSE),"UNK")&amp;"_"&amp;IFERROR(VLOOKUP(C116,LOOKUPS!$N$2:$O$10,2,FALSE),"UNK")&amp;"_"&amp;UPPER(L116))</f>
        <v/>
      </c>
      <c r="N116" s="3" t="str">
        <f>IF(M116="","",COUNTIF($M$2:M116,M116))</f>
        <v/>
      </c>
    </row>
    <row r="117" spans="1:14" x14ac:dyDescent="0.3">
      <c r="A117" s="3" t="str">
        <f t="shared" si="1"/>
        <v/>
      </c>
      <c r="M117" s="3" t="str">
        <f>IF(B117="","","PF"&amp;"_"&amp;IFERROR(VLOOKUP(B117,LOOKUPS!$K$2:$L$10,2,FALSE),"UNK")&amp;"_"&amp;IFERROR(VLOOKUP(C117,LOOKUPS!$N$2:$O$10,2,FALSE),"UNK")&amp;"_"&amp;UPPER(L117))</f>
        <v/>
      </c>
      <c r="N117" s="3" t="str">
        <f>IF(M117="","",COUNTIF($M$2:M117,M117))</f>
        <v/>
      </c>
    </row>
    <row r="118" spans="1:14" x14ac:dyDescent="0.3">
      <c r="A118" s="3" t="str">
        <f t="shared" si="1"/>
        <v/>
      </c>
      <c r="M118" s="3" t="str">
        <f>IF(B118="","","PF"&amp;"_"&amp;IFERROR(VLOOKUP(B118,LOOKUPS!$K$2:$L$10,2,FALSE),"UNK")&amp;"_"&amp;IFERROR(VLOOKUP(C118,LOOKUPS!$N$2:$O$10,2,FALSE),"UNK")&amp;"_"&amp;UPPER(L118))</f>
        <v/>
      </c>
      <c r="N118" s="3" t="str">
        <f>IF(M118="","",COUNTIF($M$2:M118,M118))</f>
        <v/>
      </c>
    </row>
    <row r="119" spans="1:14" x14ac:dyDescent="0.3">
      <c r="A119" s="3" t="str">
        <f t="shared" si="1"/>
        <v/>
      </c>
      <c r="M119" s="3" t="str">
        <f>IF(B119="","","PF"&amp;"_"&amp;IFERROR(VLOOKUP(B119,LOOKUPS!$K$2:$L$10,2,FALSE),"UNK")&amp;"_"&amp;IFERROR(VLOOKUP(C119,LOOKUPS!$N$2:$O$10,2,FALSE),"UNK")&amp;"_"&amp;UPPER(L119))</f>
        <v/>
      </c>
      <c r="N119" s="3" t="str">
        <f>IF(M119="","",COUNTIF($M$2:M119,M119))</f>
        <v/>
      </c>
    </row>
    <row r="120" spans="1:14" x14ac:dyDescent="0.3">
      <c r="A120" s="3" t="str">
        <f t="shared" si="1"/>
        <v/>
      </c>
      <c r="M120" s="3" t="str">
        <f>IF(B120="","","PF"&amp;"_"&amp;IFERROR(VLOOKUP(B120,LOOKUPS!$K$2:$L$10,2,FALSE),"UNK")&amp;"_"&amp;IFERROR(VLOOKUP(C120,LOOKUPS!$N$2:$O$10,2,FALSE),"UNK")&amp;"_"&amp;UPPER(L120))</f>
        <v/>
      </c>
      <c r="N120" s="3" t="str">
        <f>IF(M120="","",COUNTIF($M$2:M120,M120))</f>
        <v/>
      </c>
    </row>
    <row r="121" spans="1:14" x14ac:dyDescent="0.3">
      <c r="A121" s="3" t="str">
        <f t="shared" si="1"/>
        <v/>
      </c>
      <c r="M121" s="3" t="str">
        <f>IF(B121="","","PF"&amp;"_"&amp;IFERROR(VLOOKUP(B121,LOOKUPS!$K$2:$L$10,2,FALSE),"UNK")&amp;"_"&amp;IFERROR(VLOOKUP(C121,LOOKUPS!$N$2:$O$10,2,FALSE),"UNK")&amp;"_"&amp;UPPER(L121))</f>
        <v/>
      </c>
      <c r="N121" s="3" t="str">
        <f>IF(M121="","",COUNTIF($M$2:M121,M121))</f>
        <v/>
      </c>
    </row>
    <row r="122" spans="1:14" x14ac:dyDescent="0.3">
      <c r="A122" s="3" t="str">
        <f t="shared" si="1"/>
        <v/>
      </c>
      <c r="M122" s="3" t="str">
        <f>IF(B122="","","PF"&amp;"_"&amp;IFERROR(VLOOKUP(B122,LOOKUPS!$K$2:$L$10,2,FALSE),"UNK")&amp;"_"&amp;IFERROR(VLOOKUP(C122,LOOKUPS!$N$2:$O$10,2,FALSE),"UNK")&amp;"_"&amp;UPPER(L122))</f>
        <v/>
      </c>
      <c r="N122" s="3" t="str">
        <f>IF(M122="","",COUNTIF($M$2:M122,M122))</f>
        <v/>
      </c>
    </row>
    <row r="123" spans="1:14" x14ac:dyDescent="0.3">
      <c r="A123" s="3" t="str">
        <f t="shared" si="1"/>
        <v/>
      </c>
      <c r="M123" s="3" t="str">
        <f>IF(B123="","","PF"&amp;"_"&amp;IFERROR(VLOOKUP(B123,LOOKUPS!$K$2:$L$10,2,FALSE),"UNK")&amp;"_"&amp;IFERROR(VLOOKUP(C123,LOOKUPS!$N$2:$O$10,2,FALSE),"UNK")&amp;"_"&amp;UPPER(L123))</f>
        <v/>
      </c>
      <c r="N123" s="3" t="str">
        <f>IF(M123="","",COUNTIF($M$2:M123,M123))</f>
        <v/>
      </c>
    </row>
    <row r="124" spans="1:14" x14ac:dyDescent="0.3">
      <c r="A124" s="3" t="str">
        <f t="shared" si="1"/>
        <v/>
      </c>
      <c r="M124" s="3" t="str">
        <f>IF(B124="","","PF"&amp;"_"&amp;IFERROR(VLOOKUP(B124,LOOKUPS!$K$2:$L$10,2,FALSE),"UNK")&amp;"_"&amp;IFERROR(VLOOKUP(C124,LOOKUPS!$N$2:$O$10,2,FALSE),"UNK")&amp;"_"&amp;UPPER(L124))</f>
        <v/>
      </c>
      <c r="N124" s="3" t="str">
        <f>IF(M124="","",COUNTIF($M$2:M124,M124))</f>
        <v/>
      </c>
    </row>
    <row r="125" spans="1:14" x14ac:dyDescent="0.3">
      <c r="A125" s="3" t="str">
        <f t="shared" si="1"/>
        <v/>
      </c>
      <c r="M125" s="3" t="str">
        <f>IF(B125="","","PF"&amp;"_"&amp;IFERROR(VLOOKUP(B125,LOOKUPS!$K$2:$L$10,2,FALSE),"UNK")&amp;"_"&amp;IFERROR(VLOOKUP(C125,LOOKUPS!$N$2:$O$10,2,FALSE),"UNK")&amp;"_"&amp;UPPER(L125))</f>
        <v/>
      </c>
      <c r="N125" s="3" t="str">
        <f>IF(M125="","",COUNTIF($M$2:M125,M125))</f>
        <v/>
      </c>
    </row>
    <row r="126" spans="1:14" x14ac:dyDescent="0.3">
      <c r="A126" s="3" t="str">
        <f t="shared" si="1"/>
        <v/>
      </c>
      <c r="M126" s="3" t="str">
        <f>IF(B126="","","PF"&amp;"_"&amp;IFERROR(VLOOKUP(B126,LOOKUPS!$K$2:$L$10,2,FALSE),"UNK")&amp;"_"&amp;IFERROR(VLOOKUP(C126,LOOKUPS!$N$2:$O$10,2,FALSE),"UNK")&amp;"_"&amp;UPPER(L126))</f>
        <v/>
      </c>
      <c r="N126" s="3" t="str">
        <f>IF(M126="","",COUNTIF($M$2:M126,M126))</f>
        <v/>
      </c>
    </row>
    <row r="127" spans="1:14" x14ac:dyDescent="0.3">
      <c r="A127" s="3" t="str">
        <f t="shared" si="1"/>
        <v/>
      </c>
      <c r="M127" s="3" t="str">
        <f>IF(B127="","","PF"&amp;"_"&amp;IFERROR(VLOOKUP(B127,LOOKUPS!$K$2:$L$10,2,FALSE),"UNK")&amp;"_"&amp;IFERROR(VLOOKUP(C127,LOOKUPS!$N$2:$O$10,2,FALSE),"UNK")&amp;"_"&amp;UPPER(L127))</f>
        <v/>
      </c>
      <c r="N127" s="3" t="str">
        <f>IF(M127="","",COUNTIF($M$2:M127,M127))</f>
        <v/>
      </c>
    </row>
    <row r="128" spans="1:14" x14ac:dyDescent="0.3">
      <c r="A128" s="3" t="str">
        <f t="shared" si="1"/>
        <v/>
      </c>
      <c r="M128" s="3" t="str">
        <f>IF(B128="","","PF"&amp;"_"&amp;IFERROR(VLOOKUP(B128,LOOKUPS!$K$2:$L$10,2,FALSE),"UNK")&amp;"_"&amp;IFERROR(VLOOKUP(C128,LOOKUPS!$N$2:$O$10,2,FALSE),"UNK")&amp;"_"&amp;UPPER(L128))</f>
        <v/>
      </c>
      <c r="N128" s="3" t="str">
        <f>IF(M128="","",COUNTIF($M$2:M128,M128))</f>
        <v/>
      </c>
    </row>
    <row r="129" spans="1:14" x14ac:dyDescent="0.3">
      <c r="A129" s="3" t="str">
        <f t="shared" si="1"/>
        <v/>
      </c>
      <c r="M129" s="3" t="str">
        <f>IF(B129="","","PF"&amp;"_"&amp;IFERROR(VLOOKUP(B129,LOOKUPS!$K$2:$L$10,2,FALSE),"UNK")&amp;"_"&amp;IFERROR(VLOOKUP(C129,LOOKUPS!$N$2:$O$10,2,FALSE),"UNK")&amp;"_"&amp;UPPER(L129))</f>
        <v/>
      </c>
      <c r="N129" s="3" t="str">
        <f>IF(M129="","",COUNTIF($M$2:M129,M129))</f>
        <v/>
      </c>
    </row>
    <row r="130" spans="1:14" x14ac:dyDescent="0.3">
      <c r="A130" s="3" t="str">
        <f t="shared" si="1"/>
        <v/>
      </c>
      <c r="M130" s="3" t="str">
        <f>IF(B130="","","PF"&amp;"_"&amp;IFERROR(VLOOKUP(B130,LOOKUPS!$K$2:$L$10,2,FALSE),"UNK")&amp;"_"&amp;IFERROR(VLOOKUP(C130,LOOKUPS!$N$2:$O$10,2,FALSE),"UNK")&amp;"_"&amp;UPPER(L130))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IF(B131="","","PF"&amp;"_"&amp;IFERROR(VLOOKUP(B131,LOOKUPS!$K$2:$L$10,2,FALSE),"UNK")&amp;"_"&amp;IFERROR(VLOOKUP(C131,LOOKUPS!$N$2:$O$10,2,FALSE),"UNK")&amp;"_"&amp;UPPER(L131))</f>
        <v/>
      </c>
      <c r="N131" s="3" t="str">
        <f>IF(M131="","",COUNTIF($M$2:M131,M131))</f>
        <v/>
      </c>
    </row>
    <row r="132" spans="1:14" x14ac:dyDescent="0.3">
      <c r="A132" s="3" t="str">
        <f t="shared" si="2"/>
        <v/>
      </c>
      <c r="M132" s="3" t="str">
        <f>IF(B132="","","PF"&amp;"_"&amp;IFERROR(VLOOKUP(B132,LOOKUPS!$K$2:$L$10,2,FALSE),"UNK")&amp;"_"&amp;IFERROR(VLOOKUP(C132,LOOKUPS!$N$2:$O$10,2,FALSE),"UNK")&amp;"_"&amp;UPPER(L132))</f>
        <v/>
      </c>
      <c r="N132" s="3" t="str">
        <f>IF(M132="","",COUNTIF($M$2:M132,M132))</f>
        <v/>
      </c>
    </row>
    <row r="133" spans="1:14" x14ac:dyDescent="0.3">
      <c r="A133" s="3" t="str">
        <f t="shared" si="2"/>
        <v/>
      </c>
      <c r="M133" s="3" t="str">
        <f>IF(B133="","","PF"&amp;"_"&amp;IFERROR(VLOOKUP(B133,LOOKUPS!$K$2:$L$10,2,FALSE),"UNK")&amp;"_"&amp;IFERROR(VLOOKUP(C133,LOOKUPS!$N$2:$O$10,2,FALSE),"UNK")&amp;"_"&amp;UPPER(L133))</f>
        <v/>
      </c>
      <c r="N133" s="3" t="str">
        <f>IF(M133="","",COUNTIF($M$2:M133,M133))</f>
        <v/>
      </c>
    </row>
    <row r="134" spans="1:14" x14ac:dyDescent="0.3">
      <c r="A134" s="3" t="str">
        <f t="shared" si="2"/>
        <v/>
      </c>
      <c r="M134" s="3" t="str">
        <f>IF(B134="","","PF"&amp;"_"&amp;IFERROR(VLOOKUP(B134,LOOKUPS!$K$2:$L$10,2,FALSE),"UNK")&amp;"_"&amp;IFERROR(VLOOKUP(C134,LOOKUPS!$N$2:$O$10,2,FALSE),"UNK")&amp;"_"&amp;UPPER(L134))</f>
        <v/>
      </c>
      <c r="N134" s="3" t="str">
        <f>IF(M134="","",COUNTIF($M$2:M134,M134))</f>
        <v/>
      </c>
    </row>
    <row r="135" spans="1:14" x14ac:dyDescent="0.3">
      <c r="A135" s="3" t="str">
        <f t="shared" si="2"/>
        <v/>
      </c>
      <c r="M135" s="3" t="str">
        <f>IF(B135="","","PF"&amp;"_"&amp;IFERROR(VLOOKUP(B135,LOOKUPS!$K$2:$L$10,2,FALSE),"UNK")&amp;"_"&amp;IFERROR(VLOOKUP(C135,LOOKUPS!$N$2:$O$10,2,FALSE),"UNK")&amp;"_"&amp;UPPER(L135))</f>
        <v/>
      </c>
      <c r="N135" s="3" t="str">
        <f>IF(M135="","",COUNTIF($M$2:M135,M135))</f>
        <v/>
      </c>
    </row>
    <row r="136" spans="1:14" x14ac:dyDescent="0.3">
      <c r="A136" s="3" t="str">
        <f t="shared" si="2"/>
        <v/>
      </c>
      <c r="M136" s="3" t="str">
        <f>IF(B136="","","PF"&amp;"_"&amp;IFERROR(VLOOKUP(B136,LOOKUPS!$K$2:$L$10,2,FALSE),"UNK")&amp;"_"&amp;IFERROR(VLOOKUP(C136,LOOKUPS!$N$2:$O$10,2,FALSE),"UNK")&amp;"_"&amp;UPPER(L136))</f>
        <v/>
      </c>
      <c r="N136" s="3" t="str">
        <f>IF(M136="","",COUNTIF($M$2:M136,M136))</f>
        <v/>
      </c>
    </row>
    <row r="137" spans="1:14" x14ac:dyDescent="0.3">
      <c r="A137" s="3" t="str">
        <f t="shared" si="2"/>
        <v/>
      </c>
      <c r="M137" s="3" t="str">
        <f>IF(B137="","","PF"&amp;"_"&amp;IFERROR(VLOOKUP(B137,LOOKUPS!$K$2:$L$10,2,FALSE),"UNK")&amp;"_"&amp;IFERROR(VLOOKUP(C137,LOOKUPS!$N$2:$O$10,2,FALSE),"UNK")&amp;"_"&amp;UPPER(L137))</f>
        <v/>
      </c>
      <c r="N137" s="3" t="str">
        <f>IF(M137="","",COUNTIF($M$2:M137,M137))</f>
        <v/>
      </c>
    </row>
    <row r="138" spans="1:14" x14ac:dyDescent="0.3">
      <c r="A138" s="3" t="str">
        <f t="shared" si="2"/>
        <v/>
      </c>
      <c r="M138" s="3" t="str">
        <f>IF(B138="","","PF"&amp;"_"&amp;IFERROR(VLOOKUP(B138,LOOKUPS!$K$2:$L$10,2,FALSE),"UNK")&amp;"_"&amp;IFERROR(VLOOKUP(C138,LOOKUPS!$N$2:$O$10,2,FALSE),"UNK")&amp;"_"&amp;UPPER(L138))</f>
        <v/>
      </c>
      <c r="N138" s="3" t="str">
        <f>IF(M138="","",COUNTIF($M$2:M138,M138))</f>
        <v/>
      </c>
    </row>
    <row r="139" spans="1:14" x14ac:dyDescent="0.3">
      <c r="A139" s="3" t="str">
        <f t="shared" si="2"/>
        <v/>
      </c>
      <c r="M139" s="3" t="str">
        <f>IF(B139="","","PF"&amp;"_"&amp;IFERROR(VLOOKUP(B139,LOOKUPS!$K$2:$L$10,2,FALSE),"UNK")&amp;"_"&amp;IFERROR(VLOOKUP(C139,LOOKUPS!$N$2:$O$10,2,FALSE),"UNK")&amp;"_"&amp;UPPER(L139))</f>
        <v/>
      </c>
      <c r="N139" s="3" t="str">
        <f>IF(M139="","",COUNTIF($M$2:M139,M139))</f>
        <v/>
      </c>
    </row>
    <row r="140" spans="1:14" x14ac:dyDescent="0.3">
      <c r="A140" s="3" t="str">
        <f t="shared" si="2"/>
        <v/>
      </c>
      <c r="M140" s="3" t="str">
        <f>IF(B140="","","PF"&amp;"_"&amp;IFERROR(VLOOKUP(B140,LOOKUPS!$K$2:$L$10,2,FALSE),"UNK")&amp;"_"&amp;IFERROR(VLOOKUP(C140,LOOKUPS!$N$2:$O$10,2,FALSE),"UNK")&amp;"_"&amp;UPPER(L140))</f>
        <v/>
      </c>
      <c r="N140" s="3" t="str">
        <f>IF(M140="","",COUNTIF($M$2:M140,M140))</f>
        <v/>
      </c>
    </row>
    <row r="141" spans="1:14" x14ac:dyDescent="0.3">
      <c r="A141" s="3" t="str">
        <f t="shared" si="2"/>
        <v/>
      </c>
      <c r="M141" s="3" t="str">
        <f>IF(B141="","","PF"&amp;"_"&amp;IFERROR(VLOOKUP(B141,LOOKUPS!$K$2:$L$10,2,FALSE),"UNK")&amp;"_"&amp;IFERROR(VLOOKUP(C141,LOOKUPS!$N$2:$O$10,2,FALSE),"UNK")&amp;"_"&amp;UPPER(L141))</f>
        <v/>
      </c>
      <c r="N141" s="3" t="str">
        <f>IF(M141="","",COUNTIF($M$2:M141,M141))</f>
        <v/>
      </c>
    </row>
    <row r="142" spans="1:14" x14ac:dyDescent="0.3">
      <c r="A142" s="3" t="str">
        <f t="shared" si="2"/>
        <v/>
      </c>
      <c r="M142" s="3" t="str">
        <f>IF(B142="","","PF"&amp;"_"&amp;IFERROR(VLOOKUP(B142,LOOKUPS!$K$2:$L$10,2,FALSE),"UNK")&amp;"_"&amp;IFERROR(VLOOKUP(C142,LOOKUPS!$N$2:$O$10,2,FALSE),"UNK")&amp;"_"&amp;UPPER(L142))</f>
        <v/>
      </c>
      <c r="N142" s="3" t="str">
        <f>IF(M142="","",COUNTIF($M$2:M142,M142))</f>
        <v/>
      </c>
    </row>
    <row r="143" spans="1:14" x14ac:dyDescent="0.3">
      <c r="A143" s="3" t="str">
        <f t="shared" si="2"/>
        <v/>
      </c>
      <c r="M143" s="3" t="str">
        <f>IF(B143="","","PF"&amp;"_"&amp;IFERROR(VLOOKUP(B143,LOOKUPS!$K$2:$L$10,2,FALSE),"UNK")&amp;"_"&amp;IFERROR(VLOOKUP(C143,LOOKUPS!$N$2:$O$10,2,FALSE),"UNK")&amp;"_"&amp;UPPER(L143))</f>
        <v/>
      </c>
      <c r="N143" s="3" t="str">
        <f>IF(M143="","",COUNTIF($M$2:M143,M143))</f>
        <v/>
      </c>
    </row>
    <row r="144" spans="1:14" x14ac:dyDescent="0.3">
      <c r="A144" s="3" t="str">
        <f t="shared" si="2"/>
        <v/>
      </c>
      <c r="M144" s="3" t="str">
        <f>IF(B144="","","PF"&amp;"_"&amp;IFERROR(VLOOKUP(B144,LOOKUPS!$K$2:$L$10,2,FALSE),"UNK")&amp;"_"&amp;IFERROR(VLOOKUP(C144,LOOKUPS!$N$2:$O$10,2,FALSE),"UNK")&amp;"_"&amp;UPPER(L144))</f>
        <v/>
      </c>
      <c r="N144" s="3" t="str">
        <f>IF(M144="","",COUNTIF($M$2:M144,M144))</f>
        <v/>
      </c>
    </row>
    <row r="145" spans="1:14" x14ac:dyDescent="0.3">
      <c r="A145" s="3" t="str">
        <f t="shared" si="2"/>
        <v/>
      </c>
      <c r="M145" s="3" t="str">
        <f>IF(B145="","","PF"&amp;"_"&amp;IFERROR(VLOOKUP(B145,LOOKUPS!$K$2:$L$10,2,FALSE),"UNK")&amp;"_"&amp;IFERROR(VLOOKUP(C145,LOOKUPS!$N$2:$O$10,2,FALSE),"UNK")&amp;"_"&amp;UPPER(L145))</f>
        <v/>
      </c>
      <c r="N145" s="3" t="str">
        <f>IF(M145="","",COUNTIF($M$2:M145,M145))</f>
        <v/>
      </c>
    </row>
    <row r="146" spans="1:14" x14ac:dyDescent="0.3">
      <c r="A146" s="3" t="str">
        <f t="shared" si="2"/>
        <v/>
      </c>
      <c r="M146" s="3" t="str">
        <f>IF(B146="","","PF"&amp;"_"&amp;IFERROR(VLOOKUP(B146,LOOKUPS!$K$2:$L$10,2,FALSE),"UNK")&amp;"_"&amp;IFERROR(VLOOKUP(C146,LOOKUPS!$N$2:$O$10,2,FALSE),"UNK")&amp;"_"&amp;UPPER(L146))</f>
        <v/>
      </c>
      <c r="N146" s="3" t="str">
        <f>IF(M146="","",COUNTIF($M$2:M146,M146))</f>
        <v/>
      </c>
    </row>
    <row r="147" spans="1:14" x14ac:dyDescent="0.3">
      <c r="A147" s="3" t="str">
        <f t="shared" si="2"/>
        <v/>
      </c>
      <c r="M147" s="3" t="str">
        <f>IF(B147="","","PF"&amp;"_"&amp;IFERROR(VLOOKUP(B147,LOOKUPS!$K$2:$L$10,2,FALSE),"UNK")&amp;"_"&amp;IFERROR(VLOOKUP(C147,LOOKUPS!$N$2:$O$10,2,FALSE),"UNK")&amp;"_"&amp;UPPER(L147))</f>
        <v/>
      </c>
      <c r="N147" s="3" t="str">
        <f>IF(M147="","",COUNTIF($M$2:M147,M147))</f>
        <v/>
      </c>
    </row>
    <row r="148" spans="1:14" x14ac:dyDescent="0.3">
      <c r="A148" s="3" t="str">
        <f t="shared" si="2"/>
        <v/>
      </c>
      <c r="M148" s="3" t="str">
        <f>IF(B148="","","PF"&amp;"_"&amp;IFERROR(VLOOKUP(B148,LOOKUPS!$K$2:$L$10,2,FALSE),"UNK")&amp;"_"&amp;IFERROR(VLOOKUP(C148,LOOKUPS!$N$2:$O$10,2,FALSE),"UNK")&amp;"_"&amp;UPPER(L148))</f>
        <v/>
      </c>
      <c r="N148" s="3" t="str">
        <f>IF(M148="","",COUNTIF($M$2:M148,M148))</f>
        <v/>
      </c>
    </row>
    <row r="149" spans="1:14" x14ac:dyDescent="0.3">
      <c r="A149" s="3" t="str">
        <f t="shared" si="2"/>
        <v/>
      </c>
      <c r="M149" s="3" t="str">
        <f>IF(B149="","","PF"&amp;"_"&amp;IFERROR(VLOOKUP(B149,LOOKUPS!$K$2:$L$10,2,FALSE),"UNK")&amp;"_"&amp;IFERROR(VLOOKUP(C149,LOOKUPS!$N$2:$O$10,2,FALSE),"UNK")&amp;"_"&amp;UPPER(L149))</f>
        <v/>
      </c>
      <c r="N149" s="3" t="str">
        <f>IF(M149="","",COUNTIF($M$2:M149,M149))</f>
        <v/>
      </c>
    </row>
    <row r="150" spans="1:14" x14ac:dyDescent="0.3">
      <c r="A150" s="3" t="str">
        <f t="shared" si="2"/>
        <v/>
      </c>
      <c r="M150" s="3" t="str">
        <f>IF(B150="","","PF"&amp;"_"&amp;IFERROR(VLOOKUP(B150,LOOKUPS!$K$2:$L$10,2,FALSE),"UNK")&amp;"_"&amp;IFERROR(VLOOKUP(C150,LOOKUPS!$N$2:$O$10,2,FALSE),"UNK")&amp;"_"&amp;UPPER(L150))</f>
        <v/>
      </c>
      <c r="N150" s="3" t="str">
        <f>IF(M150="","",COUNTIF($M$2:M150,M150))</f>
        <v/>
      </c>
    </row>
    <row r="151" spans="1:14" x14ac:dyDescent="0.3">
      <c r="A151" s="3" t="str">
        <f t="shared" si="2"/>
        <v/>
      </c>
      <c r="M151" s="3" t="str">
        <f>IF(B151="","","PF"&amp;"_"&amp;IFERROR(VLOOKUP(B151,LOOKUPS!$K$2:$L$10,2,FALSE),"UNK")&amp;"_"&amp;IFERROR(VLOOKUP(C151,LOOKUPS!$N$2:$O$10,2,FALSE),"UNK")&amp;"_"&amp;UPPER(L151))</f>
        <v/>
      </c>
      <c r="N151" s="3" t="str">
        <f>IF(M151="","",COUNTIF($M$2:M151,M151))</f>
        <v/>
      </c>
    </row>
    <row r="152" spans="1:14" x14ac:dyDescent="0.3">
      <c r="A152" s="3" t="str">
        <f t="shared" si="2"/>
        <v/>
      </c>
      <c r="M152" s="3" t="str">
        <f>IF(B152="","","PF"&amp;"_"&amp;IFERROR(VLOOKUP(B152,LOOKUPS!$K$2:$L$10,2,FALSE),"UNK")&amp;"_"&amp;IFERROR(VLOOKUP(C152,LOOKUPS!$N$2:$O$10,2,FALSE),"UNK")&amp;"_"&amp;UPPER(L152))</f>
        <v/>
      </c>
      <c r="N152" s="3" t="str">
        <f>IF(M152="","",COUNTIF($M$2:M152,M152))</f>
        <v/>
      </c>
    </row>
    <row r="153" spans="1:14" x14ac:dyDescent="0.3">
      <c r="A153" s="3" t="str">
        <f t="shared" si="2"/>
        <v/>
      </c>
      <c r="M153" s="3" t="str">
        <f>IF(B153="","","PF"&amp;"_"&amp;IFERROR(VLOOKUP(B153,LOOKUPS!$K$2:$L$10,2,FALSE),"UNK")&amp;"_"&amp;IFERROR(VLOOKUP(C153,LOOKUPS!$N$2:$O$10,2,FALSE),"UNK")&amp;"_"&amp;UPPER(L153))</f>
        <v/>
      </c>
      <c r="N153" s="3" t="str">
        <f>IF(M153="","",COUNTIF($M$2:M153,M153))</f>
        <v/>
      </c>
    </row>
    <row r="154" spans="1:14" x14ac:dyDescent="0.3">
      <c r="A154" s="3" t="str">
        <f t="shared" si="2"/>
        <v/>
      </c>
      <c r="M154" s="3" t="str">
        <f>IF(B154="","","PF"&amp;"_"&amp;IFERROR(VLOOKUP(B154,LOOKUPS!$K$2:$L$10,2,FALSE),"UNK")&amp;"_"&amp;IFERROR(VLOOKUP(C154,LOOKUPS!$N$2:$O$10,2,FALSE),"UNK")&amp;"_"&amp;UPPER(L154))</f>
        <v/>
      </c>
      <c r="N154" s="3" t="str">
        <f>IF(M154="","",COUNTIF($M$2:M154,M154))</f>
        <v/>
      </c>
    </row>
    <row r="155" spans="1:14" x14ac:dyDescent="0.3">
      <c r="A155" s="3" t="str">
        <f t="shared" si="2"/>
        <v/>
      </c>
      <c r="M155" s="3" t="str">
        <f>IF(B155="","","PF"&amp;"_"&amp;IFERROR(VLOOKUP(B155,LOOKUPS!$K$2:$L$10,2,FALSE),"UNK")&amp;"_"&amp;IFERROR(VLOOKUP(C155,LOOKUPS!$N$2:$O$10,2,FALSE),"UNK")&amp;"_"&amp;UPPER(L155))</f>
        <v/>
      </c>
      <c r="N155" s="3" t="str">
        <f>IF(M155="","",COUNTIF($M$2:M155,M155))</f>
        <v/>
      </c>
    </row>
    <row r="156" spans="1:14" x14ac:dyDescent="0.3">
      <c r="A156" s="3" t="str">
        <f t="shared" si="2"/>
        <v/>
      </c>
      <c r="M156" s="3" t="str">
        <f>IF(B156="","","PF"&amp;"_"&amp;IFERROR(VLOOKUP(B156,LOOKUPS!$K$2:$L$10,2,FALSE),"UNK")&amp;"_"&amp;IFERROR(VLOOKUP(C156,LOOKUPS!$N$2:$O$10,2,FALSE),"UNK")&amp;"_"&amp;UPPER(L156))</f>
        <v/>
      </c>
      <c r="N156" s="3" t="str">
        <f>IF(M156="","",COUNTIF($M$2:M156,M156))</f>
        <v/>
      </c>
    </row>
    <row r="157" spans="1:14" x14ac:dyDescent="0.3">
      <c r="A157" s="3" t="str">
        <f t="shared" si="2"/>
        <v/>
      </c>
      <c r="M157" s="3" t="str">
        <f>IF(B157="","","PF"&amp;"_"&amp;IFERROR(VLOOKUP(B157,LOOKUPS!$K$2:$L$10,2,FALSE),"UNK")&amp;"_"&amp;IFERROR(VLOOKUP(C157,LOOKUPS!$N$2:$O$10,2,FALSE),"UNK")&amp;"_"&amp;UPPER(L157))</f>
        <v/>
      </c>
      <c r="N157" s="3" t="str">
        <f>IF(M157="","",COUNTIF($M$2:M157,M157))</f>
        <v/>
      </c>
    </row>
    <row r="158" spans="1:14" x14ac:dyDescent="0.3">
      <c r="A158" s="3" t="str">
        <f t="shared" si="2"/>
        <v/>
      </c>
      <c r="M158" s="3" t="str">
        <f>IF(B158="","","PF"&amp;"_"&amp;IFERROR(VLOOKUP(B158,LOOKUPS!$K$2:$L$10,2,FALSE),"UNK")&amp;"_"&amp;IFERROR(VLOOKUP(C158,LOOKUPS!$N$2:$O$10,2,FALSE),"UNK")&amp;"_"&amp;UPPER(L158))</f>
        <v/>
      </c>
      <c r="N158" s="3" t="str">
        <f>IF(M158="","",COUNTIF($M$2:M158,M158))</f>
        <v/>
      </c>
    </row>
    <row r="159" spans="1:14" x14ac:dyDescent="0.3">
      <c r="A159" s="3" t="str">
        <f t="shared" si="2"/>
        <v/>
      </c>
      <c r="M159" s="3" t="str">
        <f>IF(B159="","","PF"&amp;"_"&amp;IFERROR(VLOOKUP(B159,LOOKUPS!$K$2:$L$10,2,FALSE),"UNK")&amp;"_"&amp;IFERROR(VLOOKUP(C159,LOOKUPS!$N$2:$O$10,2,FALSE),"UNK")&amp;"_"&amp;UPPER(L159))</f>
        <v/>
      </c>
      <c r="N159" s="3" t="str">
        <f>IF(M159="","",COUNTIF($M$2:M159,M159))</f>
        <v/>
      </c>
    </row>
    <row r="160" spans="1:14" x14ac:dyDescent="0.3">
      <c r="A160" s="3" t="str">
        <f t="shared" si="2"/>
        <v/>
      </c>
      <c r="M160" s="3" t="str">
        <f>IF(B160="","","PF"&amp;"_"&amp;IFERROR(VLOOKUP(B160,LOOKUPS!$K$2:$L$10,2,FALSE),"UNK")&amp;"_"&amp;IFERROR(VLOOKUP(C160,LOOKUPS!$N$2:$O$10,2,FALSE),"UNK")&amp;"_"&amp;UPPER(L160))</f>
        <v/>
      </c>
      <c r="N160" s="3" t="str">
        <f>IF(M160="","",COUNTIF($M$2:M160,M160))</f>
        <v/>
      </c>
    </row>
    <row r="161" spans="1:14" x14ac:dyDescent="0.3">
      <c r="A161" s="3" t="str">
        <f t="shared" si="2"/>
        <v/>
      </c>
      <c r="M161" s="3" t="str">
        <f>IF(B161="","","PF"&amp;"_"&amp;IFERROR(VLOOKUP(B161,LOOKUPS!$K$2:$L$10,2,FALSE),"UNK")&amp;"_"&amp;IFERROR(VLOOKUP(C161,LOOKUPS!$N$2:$O$10,2,FALSE),"UNK")&amp;"_"&amp;UPPER(L161))</f>
        <v/>
      </c>
      <c r="N161" s="3" t="str">
        <f>IF(M161="","",COUNTIF($M$2:M161,M161))</f>
        <v/>
      </c>
    </row>
    <row r="162" spans="1:14" x14ac:dyDescent="0.3">
      <c r="A162" s="3" t="str">
        <f t="shared" si="2"/>
        <v/>
      </c>
      <c r="M162" s="3" t="str">
        <f>IF(B162="","","PF"&amp;"_"&amp;IFERROR(VLOOKUP(B162,LOOKUPS!$K$2:$L$10,2,FALSE),"UNK")&amp;"_"&amp;IFERROR(VLOOKUP(C162,LOOKUPS!$N$2:$O$10,2,FALSE),"UNK")&amp;"_"&amp;UPPER(L162))</f>
        <v/>
      </c>
      <c r="N162" s="3" t="str">
        <f>IF(M162="","",COUNTIF($M$2:M162,M162))</f>
        <v/>
      </c>
    </row>
    <row r="163" spans="1:14" x14ac:dyDescent="0.3">
      <c r="A163" s="3" t="str">
        <f t="shared" si="2"/>
        <v/>
      </c>
      <c r="M163" s="3" t="str">
        <f>IF(B163="","","PF"&amp;"_"&amp;IFERROR(VLOOKUP(B163,LOOKUPS!$K$2:$L$10,2,FALSE),"UNK")&amp;"_"&amp;IFERROR(VLOOKUP(C163,LOOKUPS!$N$2:$O$10,2,FALSE),"UNK")&amp;"_"&amp;UPPER(L163))</f>
        <v/>
      </c>
      <c r="N163" s="3" t="str">
        <f>IF(M163="","",COUNTIF($M$2:M163,M163))</f>
        <v/>
      </c>
    </row>
    <row r="164" spans="1:14" x14ac:dyDescent="0.3">
      <c r="A164" s="3" t="str">
        <f t="shared" si="2"/>
        <v/>
      </c>
      <c r="M164" s="3" t="str">
        <f>IF(B164="","","PF"&amp;"_"&amp;IFERROR(VLOOKUP(B164,LOOKUPS!$K$2:$L$10,2,FALSE),"UNK")&amp;"_"&amp;IFERROR(VLOOKUP(C164,LOOKUPS!$N$2:$O$10,2,FALSE),"UNK")&amp;"_"&amp;UPPER(L164))</f>
        <v/>
      </c>
      <c r="N164" s="3" t="str">
        <f>IF(M164="","",COUNTIF($M$2:M164,M164))</f>
        <v/>
      </c>
    </row>
    <row r="165" spans="1:14" x14ac:dyDescent="0.3">
      <c r="A165" s="3" t="str">
        <f t="shared" si="2"/>
        <v/>
      </c>
      <c r="M165" s="3" t="str">
        <f>IF(B165="","","PF"&amp;"_"&amp;IFERROR(VLOOKUP(B165,LOOKUPS!$K$2:$L$10,2,FALSE),"UNK")&amp;"_"&amp;IFERROR(VLOOKUP(C165,LOOKUPS!$N$2:$O$10,2,FALSE),"UNK")&amp;"_"&amp;UPPER(L165))</f>
        <v/>
      </c>
      <c r="N165" s="3" t="str">
        <f>IF(M165="","",COUNTIF($M$2:M165,M165))</f>
        <v/>
      </c>
    </row>
    <row r="166" spans="1:14" x14ac:dyDescent="0.3">
      <c r="A166" s="3" t="str">
        <f t="shared" si="2"/>
        <v/>
      </c>
      <c r="M166" s="3" t="str">
        <f>IF(B166="","","PF"&amp;"_"&amp;IFERROR(VLOOKUP(B166,LOOKUPS!$K$2:$L$10,2,FALSE),"UNK")&amp;"_"&amp;IFERROR(VLOOKUP(C166,LOOKUPS!$N$2:$O$10,2,FALSE),"UNK")&amp;"_"&amp;UPPER(L166))</f>
        <v/>
      </c>
      <c r="N166" s="3" t="str">
        <f>IF(M166="","",COUNTIF($M$2:M166,M166))</f>
        <v/>
      </c>
    </row>
    <row r="167" spans="1:14" x14ac:dyDescent="0.3">
      <c r="A167" s="3" t="str">
        <f t="shared" si="2"/>
        <v/>
      </c>
      <c r="M167" s="3" t="str">
        <f>IF(B167="","","PF"&amp;"_"&amp;IFERROR(VLOOKUP(B167,LOOKUPS!$K$2:$L$10,2,FALSE),"UNK")&amp;"_"&amp;IFERROR(VLOOKUP(C167,LOOKUPS!$N$2:$O$10,2,FALSE),"UNK")&amp;"_"&amp;UPPER(L167))</f>
        <v/>
      </c>
      <c r="N167" s="3" t="str">
        <f>IF(M167="","",COUNTIF($M$2:M167,M167))</f>
        <v/>
      </c>
    </row>
    <row r="168" spans="1:14" x14ac:dyDescent="0.3">
      <c r="A168" s="3" t="str">
        <f t="shared" si="2"/>
        <v/>
      </c>
      <c r="M168" s="3" t="str">
        <f>IF(B168="","","PF"&amp;"_"&amp;IFERROR(VLOOKUP(B168,LOOKUPS!$K$2:$L$10,2,FALSE),"UNK")&amp;"_"&amp;IFERROR(VLOOKUP(C168,LOOKUPS!$N$2:$O$10,2,FALSE),"UNK")&amp;"_"&amp;UPPER(L168))</f>
        <v/>
      </c>
      <c r="N168" s="3" t="str">
        <f>IF(M168="","",COUNTIF($M$2:M168,M168))</f>
        <v/>
      </c>
    </row>
    <row r="169" spans="1:14" x14ac:dyDescent="0.3">
      <c r="A169" s="3" t="str">
        <f t="shared" si="2"/>
        <v/>
      </c>
      <c r="M169" s="3" t="str">
        <f>IF(B169="","","PF"&amp;"_"&amp;IFERROR(VLOOKUP(B169,LOOKUPS!$K$2:$L$10,2,FALSE),"UNK")&amp;"_"&amp;IFERROR(VLOOKUP(C169,LOOKUPS!$N$2:$O$10,2,FALSE),"UNK")&amp;"_"&amp;UPPER(L169))</f>
        <v/>
      </c>
      <c r="N169" s="3" t="str">
        <f>IF(M169="","",COUNTIF($M$2:M169,M169))</f>
        <v/>
      </c>
    </row>
    <row r="170" spans="1:14" x14ac:dyDescent="0.3">
      <c r="A170" s="3" t="str">
        <f t="shared" si="2"/>
        <v/>
      </c>
      <c r="M170" s="3" t="str">
        <f>IF(B170="","","PF"&amp;"_"&amp;IFERROR(VLOOKUP(B170,LOOKUPS!$K$2:$L$10,2,FALSE),"UNK")&amp;"_"&amp;IFERROR(VLOOKUP(C170,LOOKUPS!$N$2:$O$10,2,FALSE),"UNK")&amp;"_"&amp;UPPER(L170))</f>
        <v/>
      </c>
      <c r="N170" s="3" t="str">
        <f>IF(M170="","",COUNTIF($M$2:M170,M170))</f>
        <v/>
      </c>
    </row>
    <row r="171" spans="1:14" x14ac:dyDescent="0.3">
      <c r="A171" s="3" t="str">
        <f t="shared" si="2"/>
        <v/>
      </c>
      <c r="M171" s="3" t="str">
        <f>IF(B171="","","PF"&amp;"_"&amp;IFERROR(VLOOKUP(B171,LOOKUPS!$K$2:$L$10,2,FALSE),"UNK")&amp;"_"&amp;IFERROR(VLOOKUP(C171,LOOKUPS!$N$2:$O$10,2,FALSE),"UNK")&amp;"_"&amp;UPPER(L171))</f>
        <v/>
      </c>
      <c r="N171" s="3" t="str">
        <f>IF(M171="","",COUNTIF($M$2:M171,M171))</f>
        <v/>
      </c>
    </row>
    <row r="172" spans="1:14" x14ac:dyDescent="0.3">
      <c r="A172" s="3" t="str">
        <f t="shared" si="2"/>
        <v/>
      </c>
      <c r="M172" s="3" t="str">
        <f>IF(B172="","","PF"&amp;"_"&amp;IFERROR(VLOOKUP(B172,LOOKUPS!$K$2:$L$10,2,FALSE),"UNK")&amp;"_"&amp;IFERROR(VLOOKUP(C172,LOOKUPS!$N$2:$O$10,2,FALSE),"UNK")&amp;"_"&amp;UPPER(L172))</f>
        <v/>
      </c>
      <c r="N172" s="3" t="str">
        <f>IF(M172="","",COUNTIF($M$2:M172,M172))</f>
        <v/>
      </c>
    </row>
    <row r="173" spans="1:14" x14ac:dyDescent="0.3">
      <c r="A173" s="3" t="str">
        <f t="shared" si="2"/>
        <v/>
      </c>
      <c r="M173" s="3" t="str">
        <f>IF(B173="","","PF"&amp;"_"&amp;IFERROR(VLOOKUP(B173,LOOKUPS!$K$2:$L$10,2,FALSE),"UNK")&amp;"_"&amp;IFERROR(VLOOKUP(C173,LOOKUPS!$N$2:$O$10,2,FALSE),"UNK")&amp;"_"&amp;UPPER(L173))</f>
        <v/>
      </c>
      <c r="N173" s="3" t="str">
        <f>IF(M173="","",COUNTIF($M$2:M173,M173))</f>
        <v/>
      </c>
    </row>
    <row r="174" spans="1:14" x14ac:dyDescent="0.3">
      <c r="A174" s="3" t="str">
        <f t="shared" si="2"/>
        <v/>
      </c>
      <c r="M174" s="3" t="str">
        <f>IF(B174="","","PF"&amp;"_"&amp;IFERROR(VLOOKUP(B174,LOOKUPS!$K$2:$L$10,2,FALSE),"UNK")&amp;"_"&amp;IFERROR(VLOOKUP(C174,LOOKUPS!$N$2:$O$10,2,FALSE),"UNK")&amp;"_"&amp;UPPER(L174))</f>
        <v/>
      </c>
      <c r="N174" s="3" t="str">
        <f>IF(M174="","",COUNTIF($M$2:M174,M174))</f>
        <v/>
      </c>
    </row>
    <row r="175" spans="1:14" x14ac:dyDescent="0.3">
      <c r="A175" s="3" t="str">
        <f t="shared" si="2"/>
        <v/>
      </c>
      <c r="M175" s="3" t="str">
        <f>IF(B175="","","PF"&amp;"_"&amp;IFERROR(VLOOKUP(B175,LOOKUPS!$K$2:$L$10,2,FALSE),"UNK")&amp;"_"&amp;IFERROR(VLOOKUP(C175,LOOKUPS!$N$2:$O$10,2,FALSE),"UNK")&amp;"_"&amp;UPPER(L175))</f>
        <v/>
      </c>
      <c r="N175" s="3" t="str">
        <f>IF(M175="","",COUNTIF($M$2:M175,M175))</f>
        <v/>
      </c>
    </row>
    <row r="176" spans="1:14" x14ac:dyDescent="0.3">
      <c r="A176" s="3" t="str">
        <f t="shared" si="2"/>
        <v/>
      </c>
      <c r="M176" s="3" t="str">
        <f>IF(B176="","","PF"&amp;"_"&amp;IFERROR(VLOOKUP(B176,LOOKUPS!$K$2:$L$10,2,FALSE),"UNK")&amp;"_"&amp;IFERROR(VLOOKUP(C176,LOOKUPS!$N$2:$O$10,2,FALSE),"UNK")&amp;"_"&amp;UPPER(L176))</f>
        <v/>
      </c>
      <c r="N176" s="3" t="str">
        <f>IF(M176="","",COUNTIF($M$2:M176,M176))</f>
        <v/>
      </c>
    </row>
    <row r="177" spans="1:14" x14ac:dyDescent="0.3">
      <c r="A177" s="3" t="str">
        <f t="shared" si="2"/>
        <v/>
      </c>
      <c r="M177" s="3" t="str">
        <f>IF(B177="","","PF"&amp;"_"&amp;IFERROR(VLOOKUP(B177,LOOKUPS!$K$2:$L$10,2,FALSE),"UNK")&amp;"_"&amp;IFERROR(VLOOKUP(C177,LOOKUPS!$N$2:$O$10,2,FALSE),"UNK")&amp;"_"&amp;UPPER(L177))</f>
        <v/>
      </c>
      <c r="N177" s="3" t="str">
        <f>IF(M177="","",COUNTIF($M$2:M177,M177))</f>
        <v/>
      </c>
    </row>
    <row r="178" spans="1:14" x14ac:dyDescent="0.3">
      <c r="A178" s="3" t="str">
        <f t="shared" si="2"/>
        <v/>
      </c>
      <c r="M178" s="3" t="str">
        <f>IF(B178="","","PF"&amp;"_"&amp;IFERROR(VLOOKUP(B178,LOOKUPS!$K$2:$L$10,2,FALSE),"UNK")&amp;"_"&amp;IFERROR(VLOOKUP(C178,LOOKUPS!$N$2:$O$10,2,FALSE),"UNK")&amp;"_"&amp;UPPER(L178))</f>
        <v/>
      </c>
      <c r="N178" s="3" t="str">
        <f>IF(M178="","",COUNTIF($M$2:M178,M178))</f>
        <v/>
      </c>
    </row>
    <row r="179" spans="1:14" x14ac:dyDescent="0.3">
      <c r="A179" s="3" t="str">
        <f t="shared" si="2"/>
        <v/>
      </c>
      <c r="M179" s="3" t="str">
        <f>IF(B179="","","PF"&amp;"_"&amp;IFERROR(VLOOKUP(B179,LOOKUPS!$K$2:$L$10,2,FALSE),"UNK")&amp;"_"&amp;IFERROR(VLOOKUP(C179,LOOKUPS!$N$2:$O$10,2,FALSE),"UNK")&amp;"_"&amp;UPPER(L179))</f>
        <v/>
      </c>
      <c r="N179" s="3" t="str">
        <f>IF(M179="","",COUNTIF($M$2:M179,M179))</f>
        <v/>
      </c>
    </row>
    <row r="180" spans="1:14" x14ac:dyDescent="0.3">
      <c r="A180" s="3" t="str">
        <f t="shared" si="2"/>
        <v/>
      </c>
      <c r="M180" s="3" t="str">
        <f>IF(B180="","","PF"&amp;"_"&amp;IFERROR(VLOOKUP(B180,LOOKUPS!$K$2:$L$10,2,FALSE),"UNK")&amp;"_"&amp;IFERROR(VLOOKUP(C180,LOOKUPS!$N$2:$O$10,2,FALSE),"UNK")&amp;"_"&amp;UPPER(L180))</f>
        <v/>
      </c>
      <c r="N180" s="3" t="str">
        <f>IF(M180="","",COUNTIF($M$2:M180,M180))</f>
        <v/>
      </c>
    </row>
    <row r="181" spans="1:14" x14ac:dyDescent="0.3">
      <c r="A181" s="3" t="str">
        <f t="shared" si="2"/>
        <v/>
      </c>
      <c r="M181" s="3" t="str">
        <f>IF(B181="","","PF"&amp;"_"&amp;IFERROR(VLOOKUP(B181,LOOKUPS!$K$2:$L$10,2,FALSE),"UNK")&amp;"_"&amp;IFERROR(VLOOKUP(C181,LOOKUPS!$N$2:$O$10,2,FALSE),"UNK")&amp;"_"&amp;UPPER(L181))</f>
        <v/>
      </c>
      <c r="N181" s="3" t="str">
        <f>IF(M181="","",COUNTIF($M$2:M181,M181))</f>
        <v/>
      </c>
    </row>
    <row r="182" spans="1:14" x14ac:dyDescent="0.3">
      <c r="A182" s="3" t="str">
        <f t="shared" si="2"/>
        <v/>
      </c>
      <c r="M182" s="3" t="str">
        <f>IF(B182="","","PF"&amp;"_"&amp;IFERROR(VLOOKUP(B182,LOOKUPS!$K$2:$L$10,2,FALSE),"UNK")&amp;"_"&amp;IFERROR(VLOOKUP(C182,LOOKUPS!$N$2:$O$10,2,FALSE),"UNK")&amp;"_"&amp;UPPER(L182))</f>
        <v/>
      </c>
      <c r="N182" s="3" t="str">
        <f>IF(M182="","",COUNTIF($M$2:M182,M182))</f>
        <v/>
      </c>
    </row>
    <row r="183" spans="1:14" x14ac:dyDescent="0.3">
      <c r="A183" s="3" t="str">
        <f t="shared" si="2"/>
        <v/>
      </c>
      <c r="M183" s="3" t="str">
        <f>IF(B183="","","PF"&amp;"_"&amp;IFERROR(VLOOKUP(B183,LOOKUPS!$K$2:$L$10,2,FALSE),"UNK")&amp;"_"&amp;IFERROR(VLOOKUP(C183,LOOKUPS!$N$2:$O$10,2,FALSE),"UNK")&amp;"_"&amp;UPPER(L183))</f>
        <v/>
      </c>
      <c r="N183" s="3" t="str">
        <f>IF(M183="","",COUNTIF($M$2:M183,M183))</f>
        <v/>
      </c>
    </row>
    <row r="184" spans="1:14" x14ac:dyDescent="0.3">
      <c r="A184" s="3" t="str">
        <f t="shared" si="2"/>
        <v/>
      </c>
      <c r="M184" s="3" t="str">
        <f>IF(B184="","","PF"&amp;"_"&amp;IFERROR(VLOOKUP(B184,LOOKUPS!$K$2:$L$10,2,FALSE),"UNK")&amp;"_"&amp;IFERROR(VLOOKUP(C184,LOOKUPS!$N$2:$O$10,2,FALSE),"UNK")&amp;"_"&amp;UPPER(L184))</f>
        <v/>
      </c>
      <c r="N184" s="3" t="str">
        <f>IF(M184="","",COUNTIF($M$2:M184,M184))</f>
        <v/>
      </c>
    </row>
    <row r="185" spans="1:14" x14ac:dyDescent="0.3">
      <c r="A185" s="3" t="str">
        <f t="shared" si="2"/>
        <v/>
      </c>
      <c r="M185" s="3" t="str">
        <f>IF(B185="","","PF"&amp;"_"&amp;IFERROR(VLOOKUP(B185,LOOKUPS!$K$2:$L$10,2,FALSE),"UNK")&amp;"_"&amp;IFERROR(VLOOKUP(C185,LOOKUPS!$N$2:$O$10,2,FALSE),"UNK")&amp;"_"&amp;UPPER(L185))</f>
        <v/>
      </c>
      <c r="N185" s="3" t="str">
        <f>IF(M185="","",COUNTIF($M$2:M185,M185))</f>
        <v/>
      </c>
    </row>
    <row r="186" spans="1:14" x14ac:dyDescent="0.3">
      <c r="A186" s="3" t="str">
        <f t="shared" si="2"/>
        <v/>
      </c>
      <c r="M186" s="3" t="str">
        <f>IF(B186="","","PF"&amp;"_"&amp;IFERROR(VLOOKUP(B186,LOOKUPS!$K$2:$L$10,2,FALSE),"UNK")&amp;"_"&amp;IFERROR(VLOOKUP(C186,LOOKUPS!$N$2:$O$10,2,FALSE),"UNK")&amp;"_"&amp;UPPER(L186))</f>
        <v/>
      </c>
      <c r="N186" s="3" t="str">
        <f>IF(M186="","",COUNTIF($M$2:M186,M186))</f>
        <v/>
      </c>
    </row>
    <row r="187" spans="1:14" x14ac:dyDescent="0.3">
      <c r="A187" s="3" t="str">
        <f t="shared" si="2"/>
        <v/>
      </c>
      <c r="M187" s="3" t="str">
        <f>IF(B187="","","PF"&amp;"_"&amp;IFERROR(VLOOKUP(B187,LOOKUPS!$K$2:$L$10,2,FALSE),"UNK")&amp;"_"&amp;IFERROR(VLOOKUP(C187,LOOKUPS!$N$2:$O$10,2,FALSE),"UNK")&amp;"_"&amp;UPPER(L187))</f>
        <v/>
      </c>
      <c r="N187" s="3" t="str">
        <f>IF(M187="","",COUNTIF($M$2:M187,M187))</f>
        <v/>
      </c>
    </row>
    <row r="188" spans="1:14" x14ac:dyDescent="0.3">
      <c r="A188" s="3" t="str">
        <f t="shared" si="2"/>
        <v/>
      </c>
      <c r="M188" s="3" t="str">
        <f>IF(B188="","","PF"&amp;"_"&amp;IFERROR(VLOOKUP(B188,LOOKUPS!$K$2:$L$10,2,FALSE),"UNK")&amp;"_"&amp;IFERROR(VLOOKUP(C188,LOOKUPS!$N$2:$O$10,2,FALSE),"UNK")&amp;"_"&amp;UPPER(L188))</f>
        <v/>
      </c>
      <c r="N188" s="3" t="str">
        <f>IF(M188="","",COUNTIF($M$2:M188,M188))</f>
        <v/>
      </c>
    </row>
    <row r="189" spans="1:14" x14ac:dyDescent="0.3">
      <c r="A189" s="3" t="str">
        <f t="shared" si="2"/>
        <v/>
      </c>
      <c r="M189" s="3" t="str">
        <f>IF(B189="","","PF"&amp;"_"&amp;IFERROR(VLOOKUP(B189,LOOKUPS!$K$2:$L$10,2,FALSE),"UNK")&amp;"_"&amp;IFERROR(VLOOKUP(C189,LOOKUPS!$N$2:$O$10,2,FALSE),"UNK")&amp;"_"&amp;UPPER(L189))</f>
        <v/>
      </c>
      <c r="N189" s="3" t="str">
        <f>IF(M189="","",COUNTIF($M$2:M189,M189))</f>
        <v/>
      </c>
    </row>
    <row r="190" spans="1:14" x14ac:dyDescent="0.3">
      <c r="A190" s="3" t="str">
        <f t="shared" si="2"/>
        <v/>
      </c>
      <c r="M190" s="3" t="str">
        <f>IF(B190="","","PF"&amp;"_"&amp;IFERROR(VLOOKUP(B190,LOOKUPS!$K$2:$L$10,2,FALSE),"UNK")&amp;"_"&amp;IFERROR(VLOOKUP(C190,LOOKUPS!$N$2:$O$10,2,FALSE),"UNK")&amp;"_"&amp;UPPER(L190))</f>
        <v/>
      </c>
      <c r="N190" s="3" t="str">
        <f>IF(M190="","",COUNTIF($M$2:M190,M190))</f>
        <v/>
      </c>
    </row>
    <row r="191" spans="1:14" x14ac:dyDescent="0.3">
      <c r="A191" s="3" t="str">
        <f t="shared" si="2"/>
        <v/>
      </c>
      <c r="M191" s="3" t="str">
        <f>IF(B191="","","PF"&amp;"_"&amp;IFERROR(VLOOKUP(B191,LOOKUPS!$K$2:$L$10,2,FALSE),"UNK")&amp;"_"&amp;IFERROR(VLOOKUP(C191,LOOKUPS!$N$2:$O$10,2,FALSE),"UNK")&amp;"_"&amp;UPPER(L191))</f>
        <v/>
      </c>
      <c r="N191" s="3" t="str">
        <f>IF(M191="","",COUNTIF($M$2:M191,M191))</f>
        <v/>
      </c>
    </row>
    <row r="192" spans="1:14" x14ac:dyDescent="0.3">
      <c r="A192" s="3" t="str">
        <f t="shared" si="2"/>
        <v/>
      </c>
      <c r="M192" s="3" t="str">
        <f>IF(B192="","","PF"&amp;"_"&amp;IFERROR(VLOOKUP(B192,LOOKUPS!$K$2:$L$10,2,FALSE),"UNK")&amp;"_"&amp;IFERROR(VLOOKUP(C192,LOOKUPS!$N$2:$O$10,2,FALSE),"UNK")&amp;"_"&amp;UPPER(L192))</f>
        <v/>
      </c>
      <c r="N192" s="3" t="str">
        <f>IF(M192="","",COUNTIF($M$2:M192,M192))</f>
        <v/>
      </c>
    </row>
    <row r="193" spans="1:14" x14ac:dyDescent="0.3">
      <c r="A193" s="3" t="str">
        <f t="shared" si="2"/>
        <v/>
      </c>
      <c r="M193" s="3" t="str">
        <f>IF(B193="","","PF"&amp;"_"&amp;IFERROR(VLOOKUP(B193,LOOKUPS!$K$2:$L$10,2,FALSE),"UNK")&amp;"_"&amp;IFERROR(VLOOKUP(C193,LOOKUPS!$N$2:$O$10,2,FALSE),"UNK")&amp;"_"&amp;UPPER(L193))</f>
        <v/>
      </c>
      <c r="N193" s="3" t="str">
        <f>IF(M193="","",COUNTIF($M$2:M193,M193))</f>
        <v/>
      </c>
    </row>
    <row r="194" spans="1:14" x14ac:dyDescent="0.3">
      <c r="A194" s="3" t="str">
        <f t="shared" si="2"/>
        <v/>
      </c>
      <c r="M194" s="3" t="str">
        <f>IF(B194="","","PF"&amp;"_"&amp;IFERROR(VLOOKUP(B194,LOOKUPS!$K$2:$L$10,2,FALSE),"UNK")&amp;"_"&amp;IFERROR(VLOOKUP(C194,LOOKUPS!$N$2:$O$10,2,FALSE),"UNK")&amp;"_"&amp;UPPER(L194))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IF(B195="","","PF"&amp;"_"&amp;IFERROR(VLOOKUP(B195,LOOKUPS!$K$2:$L$10,2,FALSE),"UNK")&amp;"_"&amp;IFERROR(VLOOKUP(C195,LOOKUPS!$N$2:$O$10,2,FALSE),"UNK")&amp;"_"&amp;UPPER(L195))</f>
        <v/>
      </c>
      <c r="N195" s="3" t="str">
        <f>IF(M195="","",COUNTIF($M$2:M195,M195))</f>
        <v/>
      </c>
    </row>
    <row r="196" spans="1:14" x14ac:dyDescent="0.3">
      <c r="A196" s="3" t="str">
        <f t="shared" si="3"/>
        <v/>
      </c>
      <c r="M196" s="3" t="str">
        <f>IF(B196="","","PF"&amp;"_"&amp;IFERROR(VLOOKUP(B196,LOOKUPS!$K$2:$L$10,2,FALSE),"UNK")&amp;"_"&amp;IFERROR(VLOOKUP(C196,LOOKUPS!$N$2:$O$10,2,FALSE),"UNK")&amp;"_"&amp;UPPER(L196))</f>
        <v/>
      </c>
      <c r="N196" s="3" t="str">
        <f>IF(M196="","",COUNTIF($M$2:M196,M196))</f>
        <v/>
      </c>
    </row>
    <row r="197" spans="1:14" x14ac:dyDescent="0.3">
      <c r="A197" s="3" t="str">
        <f t="shared" si="3"/>
        <v/>
      </c>
      <c r="M197" s="3" t="str">
        <f>IF(B197="","","PF"&amp;"_"&amp;IFERROR(VLOOKUP(B197,LOOKUPS!$K$2:$L$10,2,FALSE),"UNK")&amp;"_"&amp;IFERROR(VLOOKUP(C197,LOOKUPS!$N$2:$O$10,2,FALSE),"UNK")&amp;"_"&amp;UPPER(L197))</f>
        <v/>
      </c>
      <c r="N197" s="3" t="str">
        <f>IF(M197="","",COUNTIF($M$2:M197,M197))</f>
        <v/>
      </c>
    </row>
    <row r="198" spans="1:14" x14ac:dyDescent="0.3">
      <c r="A198" s="3" t="str">
        <f t="shared" si="3"/>
        <v/>
      </c>
      <c r="M198" s="3" t="str">
        <f>IF(B198="","","PF"&amp;"_"&amp;IFERROR(VLOOKUP(B198,LOOKUPS!$K$2:$L$10,2,FALSE),"UNK")&amp;"_"&amp;IFERROR(VLOOKUP(C198,LOOKUPS!$N$2:$O$10,2,FALSE),"UNK")&amp;"_"&amp;UPPER(L198))</f>
        <v/>
      </c>
      <c r="N198" s="3" t="str">
        <f>IF(M198="","",COUNTIF($M$2:M198,M198))</f>
        <v/>
      </c>
    </row>
    <row r="199" spans="1:14" x14ac:dyDescent="0.3">
      <c r="A199" s="3" t="str">
        <f t="shared" si="3"/>
        <v/>
      </c>
      <c r="M199" s="3" t="str">
        <f>IF(B199="","","PF"&amp;"_"&amp;IFERROR(VLOOKUP(B199,LOOKUPS!$K$2:$L$10,2,FALSE),"UNK")&amp;"_"&amp;IFERROR(VLOOKUP(C199,LOOKUPS!$N$2:$O$10,2,FALSE),"UNK")&amp;"_"&amp;UPPER(L199))</f>
        <v/>
      </c>
      <c r="N199" s="3" t="str">
        <f>IF(M199="","",COUNTIF($M$2:M199,M199))</f>
        <v/>
      </c>
    </row>
    <row r="200" spans="1:14" x14ac:dyDescent="0.3">
      <c r="A200" s="3" t="str">
        <f t="shared" si="3"/>
        <v/>
      </c>
      <c r="M200" s="3" t="str">
        <f>IF(B200="","","PF"&amp;"_"&amp;IFERROR(VLOOKUP(B200,LOOKUPS!$K$2:$L$10,2,FALSE),"UNK")&amp;"_"&amp;IFERROR(VLOOKUP(C200,LOOKUPS!$N$2:$O$10,2,FALSE),"UNK")&amp;"_"&amp;UPPER(L200))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 type="list" allowBlank="1" showDropDown="1" xr:uid="{00000000-0002-0000-0500-000000000000}">
          <x14:formula1>
            <xm:f>LOOKUPS!$A$2:$A$10</xm:f>
          </x14:formula1>
          <xm:sqref>B201:B1000</xm:sqref>
        </x14:dataValidation>
        <x14:dataValidation type="list" allowBlank="1" xr:uid="{F17F4E70-1DFD-49B8-B609-2BEFE05660BB}">
          <x14:formula1>
            <xm:f>LOOKUPS!$A$2:$A$10</xm:f>
          </x14:formula1>
          <xm:sqref>B2:B200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88" activePane="bottomLeft" state="frozen"/>
      <selection pane="bottomLeft" activeCell="A212" sqref="A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122</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122</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122</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122</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122</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122</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122</v>
      </c>
      <c r="M8" s="3">
        <f>COUNTA(CLOZE_AB!$A:$A)-1</f>
        <v>168</v>
      </c>
      <c r="N8" s="3">
        <f>COUNTA(CLOZE_LIST!$A:$A)-1</f>
        <v>199</v>
      </c>
      <c r="O8" s="3">
        <f>COUNTA(PROFORMA!$A:$A)-1</f>
        <v>199</v>
      </c>
    </row>
    <row r="9" spans="1:15"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122</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122</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122</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122</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122</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122</v>
      </c>
      <c r="M14" s="3">
        <f>COUNTA(CLOZE_AB!$A:$A)-1</f>
        <v>168</v>
      </c>
      <c r="N14" s="3">
        <f>COUNTA(CLOZE_LIST!$A:$A)-1</f>
        <v>199</v>
      </c>
      <c r="O14" s="3">
        <f>COUNTA(PROFORMA!$A:$A)-1</f>
        <v>199</v>
      </c>
    </row>
    <row r="15" spans="1:15"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122</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122</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122</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122</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122</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122</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122</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122</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122</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122</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122</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122</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122</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122</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122</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122</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122</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122</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122</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122</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122</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122</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122</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122</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122</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122</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122</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122</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122</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122</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122</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122</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122</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122</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122</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122</v>
      </c>
      <c r="M50" s="3">
        <f>COUNTA(CLOZE_AB!$A:$A)-1</f>
        <v>168</v>
      </c>
      <c r="N50" s="3">
        <f>COUNTA(CLOZE_LIST!$A:$A)-1</f>
        <v>199</v>
      </c>
      <c r="O50" s="3">
        <f>COUNTA(PROFORMA!$A:$A)-1</f>
        <v>199</v>
      </c>
    </row>
    <row r="51" spans="1:15" ht="28.8" x14ac:dyDescent="0.3">
      <c r="A51" s="3" t="str">
        <f>IF(ROW()-1&lt;=0,"",IF(ROW()-1&lt;=$L$2,IFERROR(INDEX(MCQ!$A:$K,ROW()-1+1,1),""),IF(ROW()-1&lt;=$L$2+$M$2,IFERROR(INDEX(CLOZE_AB!$A:$K,ROW()-1-$L$2+1,1),""),IF(ROW()-1&lt;=$L$2+$M$2+$N$2,IFERROR(INDEX(CLOZE_LIST!$A:$K,ROW()-1-$L$2-$M$2+1,1),""),IF(ROW()-1&lt;=$L$2+$M$2+$N$2+$O$2,IFERROR(INDEX(PROFORMA!$A:$K,ROW()-1-$L$2-$M$2-$N$2+1,1),""),"")))))</f>
        <v>MCQ_ITNIC_CALC_DISALLOW_001</v>
      </c>
      <c r="B51" s="3" t="str">
        <f>IF(ROW()-1&lt;=0,"",IF(ROW()-1&lt;=$L$2,IFERROR(INDEX(MCQ!$A:$K,ROW()-1+1,2),""),IF(ROW()-1&lt;=$L$2+$M$2,IFERROR(INDEX(CLOZE_AB!$A:$K,ROW()-1-$L$2+1,2),""),IF(ROW()-1&lt;=$L$2+$M$2+$N$2,IFERROR(INDEX(CLOZE_LIST!$A:$K,ROW()-1-$L$2-$M$2+1,2),""),IF(ROW()-1&lt;=$L$2+$M$2+$N$2+$O$2,IFERROR(INDEX(PROFORMA!$A:$K,ROW()-1-$L$2-$M$2-$N$2+1,2),""),"")))))</f>
        <v>Income tax &amp; NIC</v>
      </c>
      <c r="C51" s="3" t="str">
        <f>IF(ROW()-1&lt;=0,"",IF(ROW()-1&lt;=$L$2,IFERROR(INDEX(MCQ!$A:$K,ROW()-1+1,3),""),IF(ROW()-1&lt;=$L$2+$M$2,IFERROR(INDEX(CLOZE_AB!$A:$K,ROW()-1-$L$2+1,3),""),IF(ROW()-1&lt;=$L$2+$M$2+$N$2,IFERROR(INDEX(CLOZE_LIST!$A:$K,ROW()-1-$L$2-$M$2+1,3),""),IF(ROW()-1&lt;=$L$2+$M$2+$N$2+$O$2,IFERROR(INDEX(PROFORMA!$A:$K,ROW()-1-$L$2-$M$2-$N$2+1,3),""),"")))))</f>
        <v>calculations</v>
      </c>
      <c r="D51" s="3" t="str">
        <f>IF(ROW()-1&lt;=0,"",IF(ROW()-1&lt;=$L$2,IFERROR(INDEX(MCQ!$A:$K,ROW()-1+1,4),""),IF(ROW()-1&lt;=$L$2+$M$2,IFERROR(INDEX(CLOZE_AB!$A:$K,ROW()-1-$L$2+1,4),""),IF(ROW()-1&lt;=$L$2+$M$2+$N$2,IFERROR(INDEX(CLOZE_LIST!$A:$K,ROW()-1-$L$2-$M$2+1,4),""),IF(ROW()-1&lt;=$L$2+$M$2+$N$2+$O$2,IFERROR(INDEX(PROFORMA!$A:$K,ROW()-1-$L$2-$M$2-$N$2+1,4),""),"")))))</f>
        <v>Disallowable trading expenses</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3</v>
      </c>
      <c r="G51" s="3" t="str">
        <f>IF(ROW()-1&lt;=0,"",IF(ROW()-1&lt;=$L$2,IFERROR(INDEX(MCQ!$A:$K,ROW()-1+1,7),""),IF(ROW()-1&lt;=$L$2+$M$2,IFERROR(INDEX(CLOZE_AB!$A:$K,ROW()-1-$L$2+1,7),""),IF(ROW()-1&lt;=$L$2+$M$2+$N$2,IFERROR(INDEX(CLOZE_LIST!$A:$K,ROW()-1-$L$2-$M$2+1,7),""),IF(ROW()-1&lt;=$L$2+$M$2+$N$2+$O$2,IFERROR(INDEX(PROFORMA!$A:$K,ROW()-1-$L$2-$M$2-$N$2+1,7),""),"")))))</f>
        <v>core</v>
      </c>
      <c r="H51" s="3" t="str">
        <f>IF(ROW()-1&lt;=0,"",IF(ROW()-1&lt;=$L$2,IFERROR(INDEX(MCQ!$A:$K,ROW()-1+1,8),""),IF(ROW()-1&lt;=$L$2+$M$2,IFERROR(INDEX(CLOZE_AB!$A:$K,ROW()-1-$L$2+1,8),""),IF(ROW()-1&lt;=$L$2+$M$2+$N$2,IFERROR(INDEX(CLOZE_LIST!$A:$K,ROW()-1-$L$2-$M$2+1,8),""),IF(ROW()-1&lt;=$L$2+$M$2+$N$2+$O$2,IFERROR(INDEX(PROFORMA!$A:$K,ROW()-1-$L$2-$M$2-$N$2+1,8),""),"")))))</f>
        <v>Y</v>
      </c>
      <c r="I51" s="3" t="str">
        <f>IF(ROW()-1&lt;=0,"",IF(ROW()-1&lt;=$L$2,IFERROR(INDEX(MCQ!$A:$K,ROW()-1+1,9),""),IF(ROW()-1&lt;=$L$2+$M$2,IFERROR(INDEX(CLOZE_AB!$A:$K,ROW()-1-$L$2+1,9),""),IF(ROW()-1&lt;=$L$2+$M$2+$N$2,IFERROR(INDEX(CLOZE_LIST!$A:$K,ROW()-1-$L$2-$M$2+1,9),""),IF(ROW()-1&lt;=$L$2+$M$2+$N$2+$O$2,IFERROR(INDEX(PROFORMA!$A:$K,ROW()-1-$L$2-$M$2-$N$2+1,9),""),"")))))</f>
        <v>disallowable;drawings</v>
      </c>
      <c r="J51" s="3" t="str">
        <f>IF(ROW()-1&lt;=0,"",IF(ROW()-1&lt;=$L$2,IFERROR(INDEX(MCQ!$A:$K,ROW()-1+1,10),""),IF(ROW()-1&lt;=$L$2+$M$2,IFERROR(INDEX(CLOZE_AB!$A:$K,ROW()-1-$L$2+1,10),""),IF(ROW()-1&lt;=$L$2+$M$2+$N$2,IFERROR(INDEX(CLOZE_LIST!$A:$K,ROW()-1-$L$2-$M$2+1,10),""),IF(ROW()-1&lt;=$L$2+$M$2+$N$2+$O$2,IFERROR(INDEX(PROFORMA!$A:$K,ROW()-1-$L$2-$M$2-$N$2+1,10),""),"")))))</f>
        <v>assistant_generated</v>
      </c>
      <c r="K51" s="3">
        <f>IF(ROW()-1&lt;=0,"",IF(ROW()-1&lt;=$L$2,IFERROR(INDEX(MCQ!$A:$K,ROW()-1+1,11),""),IF(ROW()-1&lt;=$L$2+$M$2,IFERROR(INDEX(CLOZE_AB!$A:$K,ROW()-1-$L$2+1,11),""),IF(ROW()-1&lt;=$L$2+$M$2+$N$2,IFERROR(INDEX(CLOZE_LIST!$A:$K,ROW()-1-$L$2-$M$2+1,11),""),IF(ROW()-1&lt;=$L$2+$M$2+$N$2+$O$2,IFERROR(INDEX(PROFORMA!$A:$K,ROW()-1-$L$2-$M$2-$N$2+1,11),""),"")))))</f>
        <v>1</v>
      </c>
      <c r="L51" s="3">
        <f>COUNTA(MCQ!$A:$A)-1</f>
        <v>122</v>
      </c>
      <c r="M51" s="3">
        <f>COUNTA(CLOZE_AB!$A:$A)-1</f>
        <v>168</v>
      </c>
      <c r="N51" s="3">
        <f>COUNTA(CLOZE_LIST!$A:$A)-1</f>
        <v>199</v>
      </c>
      <c r="O51" s="3">
        <f>COUNTA(PROFORMA!$A:$A)-1</f>
        <v>199</v>
      </c>
    </row>
    <row r="52" spans="1:15" ht="28.8" x14ac:dyDescent="0.3">
      <c r="A52" s="3" t="str">
        <f>IF(ROW()-1&lt;=0,"",IF(ROW()-1&lt;=$L$2,IFERROR(INDEX(MCQ!$A:$K,ROW()-1+1,1),""),IF(ROW()-1&lt;=$L$2+$M$2,IFERROR(INDEX(CLOZE_AB!$A:$K,ROW()-1-$L$2+1,1),""),IF(ROW()-1&lt;=$L$2+$M$2+$N$2,IFERROR(INDEX(CLOZE_LIST!$A:$K,ROW()-1-$L$2-$M$2+1,1),""),IF(ROW()-1&lt;=$L$2+$M$2+$N$2+$O$2,IFERROR(INDEX(PROFORMA!$A:$K,ROW()-1-$L$2-$M$2-$N$2+1,1),""),"")))))</f>
        <v>MCQ_ITNIC_CALC_DISALLOW_002</v>
      </c>
      <c r="B52" s="3" t="str">
        <f>IF(ROW()-1&lt;=0,"",IF(ROW()-1&lt;=$L$2,IFERROR(INDEX(MCQ!$A:$K,ROW()-1+1,2),""),IF(ROW()-1&lt;=$L$2+$M$2,IFERROR(INDEX(CLOZE_AB!$A:$K,ROW()-1-$L$2+1,2),""),IF(ROW()-1&lt;=$L$2+$M$2+$N$2,IFERROR(INDEX(CLOZE_LIST!$A:$K,ROW()-1-$L$2-$M$2+1,2),""),IF(ROW()-1&lt;=$L$2+$M$2+$N$2+$O$2,IFERROR(INDEX(PROFORMA!$A:$K,ROW()-1-$L$2-$M$2-$N$2+1,2),""),"")))))</f>
        <v>Income tax &amp; NIC</v>
      </c>
      <c r="C52" s="3" t="str">
        <f>IF(ROW()-1&lt;=0,"",IF(ROW()-1&lt;=$L$2,IFERROR(INDEX(MCQ!$A:$K,ROW()-1+1,3),""),IF(ROW()-1&lt;=$L$2+$M$2,IFERROR(INDEX(CLOZE_AB!$A:$K,ROW()-1-$L$2+1,3),""),IF(ROW()-1&lt;=$L$2+$M$2+$N$2,IFERROR(INDEX(CLOZE_LIST!$A:$K,ROW()-1-$L$2-$M$2+1,3),""),IF(ROW()-1&lt;=$L$2+$M$2+$N$2+$O$2,IFERROR(INDEX(PROFORMA!$A:$K,ROW()-1-$L$2-$M$2-$N$2+1,3),""),"")))))</f>
        <v>calculations</v>
      </c>
      <c r="D52" s="3" t="str">
        <f>IF(ROW()-1&lt;=0,"",IF(ROW()-1&lt;=$L$2,IFERROR(INDEX(MCQ!$A:$K,ROW()-1+1,4),""),IF(ROW()-1&lt;=$L$2+$M$2,IFERROR(INDEX(CLOZE_AB!$A:$K,ROW()-1-$L$2+1,4),""),IF(ROW()-1&lt;=$L$2+$M$2+$N$2,IFERROR(INDEX(CLOZE_LIST!$A:$K,ROW()-1-$L$2-$M$2+1,4),""),IF(ROW()-1&lt;=$L$2+$M$2+$N$2+$O$2,IFERROR(INDEX(PROFORMA!$A:$K,ROW()-1-$L$2-$M$2-$N$2+1,4),""),"")))))</f>
        <v>Disallowable trading expenses</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3</v>
      </c>
      <c r="G52" s="3" t="str">
        <f>IF(ROW()-1&lt;=0,"",IF(ROW()-1&lt;=$L$2,IFERROR(INDEX(MCQ!$A:$K,ROW()-1+1,7),""),IF(ROW()-1&lt;=$L$2+$M$2,IFERROR(INDEX(CLOZE_AB!$A:$K,ROW()-1-$L$2+1,7),""),IF(ROW()-1&lt;=$L$2+$M$2+$N$2,IFERROR(INDEX(CLOZE_LIST!$A:$K,ROW()-1-$L$2-$M$2+1,7),""),IF(ROW()-1&lt;=$L$2+$M$2+$N$2+$O$2,IFERROR(INDEX(PROFORMA!$A:$K,ROW()-1-$L$2-$M$2-$N$2+1,7),""),"")))))</f>
        <v>core</v>
      </c>
      <c r="H52" s="3" t="str">
        <f>IF(ROW()-1&lt;=0,"",IF(ROW()-1&lt;=$L$2,IFERROR(INDEX(MCQ!$A:$K,ROW()-1+1,8),""),IF(ROW()-1&lt;=$L$2+$M$2,IFERROR(INDEX(CLOZE_AB!$A:$K,ROW()-1-$L$2+1,8),""),IF(ROW()-1&lt;=$L$2+$M$2+$N$2,IFERROR(INDEX(CLOZE_LIST!$A:$K,ROW()-1-$L$2-$M$2+1,8),""),IF(ROW()-1&lt;=$L$2+$M$2+$N$2+$O$2,IFERROR(INDEX(PROFORMA!$A:$K,ROW()-1-$L$2-$M$2-$N$2+1,8),""),"")))))</f>
        <v>Y</v>
      </c>
      <c r="I52" s="3" t="str">
        <f>IF(ROW()-1&lt;=0,"",IF(ROW()-1&lt;=$L$2,IFERROR(INDEX(MCQ!$A:$K,ROW()-1+1,9),""),IF(ROW()-1&lt;=$L$2+$M$2,IFERROR(INDEX(CLOZE_AB!$A:$K,ROW()-1-$L$2+1,9),""),IF(ROW()-1&lt;=$L$2+$M$2+$N$2,IFERROR(INDEX(CLOZE_LIST!$A:$K,ROW()-1-$L$2-$M$2+1,9),""),IF(ROW()-1&lt;=$L$2+$M$2+$N$2+$O$2,IFERROR(INDEX(PROFORMA!$A:$K,ROW()-1-$L$2-$M$2-$N$2+1,9),""),"")))))</f>
        <v>disallowable;wages</v>
      </c>
      <c r="J52" s="3" t="str">
        <f>IF(ROW()-1&lt;=0,"",IF(ROW()-1&lt;=$L$2,IFERROR(INDEX(MCQ!$A:$K,ROW()-1+1,10),""),IF(ROW()-1&lt;=$L$2+$M$2,IFERROR(INDEX(CLOZE_AB!$A:$K,ROW()-1-$L$2+1,10),""),IF(ROW()-1&lt;=$L$2+$M$2+$N$2,IFERROR(INDEX(CLOZE_LIST!$A:$K,ROW()-1-$L$2-$M$2+1,10),""),IF(ROW()-1&lt;=$L$2+$M$2+$N$2+$O$2,IFERROR(INDEX(PROFORMA!$A:$K,ROW()-1-$L$2-$M$2-$N$2+1,10),""),"")))))</f>
        <v>assistant_generated</v>
      </c>
      <c r="K52" s="3">
        <f>IF(ROW()-1&lt;=0,"",IF(ROW()-1&lt;=$L$2,IFERROR(INDEX(MCQ!$A:$K,ROW()-1+1,11),""),IF(ROW()-1&lt;=$L$2+$M$2,IFERROR(INDEX(CLOZE_AB!$A:$K,ROW()-1-$L$2+1,11),""),IF(ROW()-1&lt;=$L$2+$M$2+$N$2,IFERROR(INDEX(CLOZE_LIST!$A:$K,ROW()-1-$L$2-$M$2+1,11),""),IF(ROW()-1&lt;=$L$2+$M$2+$N$2+$O$2,IFERROR(INDEX(PROFORMA!$A:$K,ROW()-1-$L$2-$M$2-$N$2+1,11),""),"")))))</f>
        <v>1</v>
      </c>
      <c r="L52" s="3">
        <f>COUNTA(MCQ!$A:$A)-1</f>
        <v>122</v>
      </c>
      <c r="M52" s="3">
        <f>COUNTA(CLOZE_AB!$A:$A)-1</f>
        <v>168</v>
      </c>
      <c r="N52" s="3">
        <f>COUNTA(CLOZE_LIST!$A:$A)-1</f>
        <v>199</v>
      </c>
      <c r="O52" s="3">
        <f>COUNTA(PROFORMA!$A:$A)-1</f>
        <v>199</v>
      </c>
    </row>
    <row r="53" spans="1:15" ht="28.8" x14ac:dyDescent="0.3">
      <c r="A53" s="3" t="str">
        <f>IF(ROW()-1&lt;=0,"",IF(ROW()-1&lt;=$L$2,IFERROR(INDEX(MCQ!$A:$K,ROW()-1+1,1),""),IF(ROW()-1&lt;=$L$2+$M$2,IFERROR(INDEX(CLOZE_AB!$A:$K,ROW()-1-$L$2+1,1),""),IF(ROW()-1&lt;=$L$2+$M$2+$N$2,IFERROR(INDEX(CLOZE_LIST!$A:$K,ROW()-1-$L$2-$M$2+1,1),""),IF(ROW()-1&lt;=$L$2+$M$2+$N$2+$O$2,IFERROR(INDEX(PROFORMA!$A:$K,ROW()-1-$L$2-$M$2-$N$2+1,1),""),"")))))</f>
        <v>MCQ_ITNIC_CALC_DISALLOW_003</v>
      </c>
      <c r="B53" s="3" t="str">
        <f>IF(ROW()-1&lt;=0,"",IF(ROW()-1&lt;=$L$2,IFERROR(INDEX(MCQ!$A:$K,ROW()-1+1,2),""),IF(ROW()-1&lt;=$L$2+$M$2,IFERROR(INDEX(CLOZE_AB!$A:$K,ROW()-1-$L$2+1,2),""),IF(ROW()-1&lt;=$L$2+$M$2+$N$2,IFERROR(INDEX(CLOZE_LIST!$A:$K,ROW()-1-$L$2-$M$2+1,2),""),IF(ROW()-1&lt;=$L$2+$M$2+$N$2+$O$2,IFERROR(INDEX(PROFORMA!$A:$K,ROW()-1-$L$2-$M$2-$N$2+1,2),""),"")))))</f>
        <v>Income tax &amp; NIC</v>
      </c>
      <c r="C53" s="3" t="str">
        <f>IF(ROW()-1&lt;=0,"",IF(ROW()-1&lt;=$L$2,IFERROR(INDEX(MCQ!$A:$K,ROW()-1+1,3),""),IF(ROW()-1&lt;=$L$2+$M$2,IFERROR(INDEX(CLOZE_AB!$A:$K,ROW()-1-$L$2+1,3),""),IF(ROW()-1&lt;=$L$2+$M$2+$N$2,IFERROR(INDEX(CLOZE_LIST!$A:$K,ROW()-1-$L$2-$M$2+1,3),""),IF(ROW()-1&lt;=$L$2+$M$2+$N$2+$O$2,IFERROR(INDEX(PROFORMA!$A:$K,ROW()-1-$L$2-$M$2-$N$2+1,3),""),"")))))</f>
        <v>calculations</v>
      </c>
      <c r="D53" s="3" t="str">
        <f>IF(ROW()-1&lt;=0,"",IF(ROW()-1&lt;=$L$2,IFERROR(INDEX(MCQ!$A:$K,ROW()-1+1,4),""),IF(ROW()-1&lt;=$L$2+$M$2,IFERROR(INDEX(CLOZE_AB!$A:$K,ROW()-1-$L$2+1,4),""),IF(ROW()-1&lt;=$L$2+$M$2+$N$2,IFERROR(INDEX(CLOZE_LIST!$A:$K,ROW()-1-$L$2-$M$2+1,4),""),IF(ROW()-1&lt;=$L$2+$M$2+$N$2+$O$2,IFERROR(INDEX(PROFORMA!$A:$K,ROW()-1-$L$2-$M$2-$N$2+1,4),""),"")))))</f>
        <v>Disallowable trading expenses</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3</v>
      </c>
      <c r="G53" s="3" t="str">
        <f>IF(ROW()-1&lt;=0,"",IF(ROW()-1&lt;=$L$2,IFERROR(INDEX(MCQ!$A:$K,ROW()-1+1,7),""),IF(ROW()-1&lt;=$L$2+$M$2,IFERROR(INDEX(CLOZE_AB!$A:$K,ROW()-1-$L$2+1,7),""),IF(ROW()-1&lt;=$L$2+$M$2+$N$2,IFERROR(INDEX(CLOZE_LIST!$A:$K,ROW()-1-$L$2-$M$2+1,7),""),IF(ROW()-1&lt;=$L$2+$M$2+$N$2+$O$2,IFERROR(INDEX(PROFORMA!$A:$K,ROW()-1-$L$2-$M$2-$N$2+1,7),""),"")))))</f>
        <v>core</v>
      </c>
      <c r="H53" s="3" t="str">
        <f>IF(ROW()-1&lt;=0,"",IF(ROW()-1&lt;=$L$2,IFERROR(INDEX(MCQ!$A:$K,ROW()-1+1,8),""),IF(ROW()-1&lt;=$L$2+$M$2,IFERROR(INDEX(CLOZE_AB!$A:$K,ROW()-1-$L$2+1,8),""),IF(ROW()-1&lt;=$L$2+$M$2+$N$2,IFERROR(INDEX(CLOZE_LIST!$A:$K,ROW()-1-$L$2-$M$2+1,8),""),IF(ROW()-1&lt;=$L$2+$M$2+$N$2+$O$2,IFERROR(INDEX(PROFORMA!$A:$K,ROW()-1-$L$2-$M$2-$N$2+1,8),""),"")))))</f>
        <v>Y</v>
      </c>
      <c r="I53" s="3" t="str">
        <f>IF(ROW()-1&lt;=0,"",IF(ROW()-1&lt;=$L$2,IFERROR(INDEX(MCQ!$A:$K,ROW()-1+1,9),""),IF(ROW()-1&lt;=$L$2+$M$2,IFERROR(INDEX(CLOZE_AB!$A:$K,ROW()-1-$L$2+1,9),""),IF(ROW()-1&lt;=$L$2+$M$2+$N$2,IFERROR(INDEX(CLOZE_LIST!$A:$K,ROW()-1-$L$2-$M$2+1,9),""),IF(ROW()-1&lt;=$L$2+$M$2+$N$2+$O$2,IFERROR(INDEX(PROFORMA!$A:$K,ROW()-1-$L$2-$M$2-$N$2+1,9),""),"")))))</f>
        <v>disallowable;capital</v>
      </c>
      <c r="J53" s="3" t="str">
        <f>IF(ROW()-1&lt;=0,"",IF(ROW()-1&lt;=$L$2,IFERROR(INDEX(MCQ!$A:$K,ROW()-1+1,10),""),IF(ROW()-1&lt;=$L$2+$M$2,IFERROR(INDEX(CLOZE_AB!$A:$K,ROW()-1-$L$2+1,10),""),IF(ROW()-1&lt;=$L$2+$M$2+$N$2,IFERROR(INDEX(CLOZE_LIST!$A:$K,ROW()-1-$L$2-$M$2+1,10),""),IF(ROW()-1&lt;=$L$2+$M$2+$N$2+$O$2,IFERROR(INDEX(PROFORMA!$A:$K,ROW()-1-$L$2-$M$2-$N$2+1,10),""),"")))))</f>
        <v>assistant_generated</v>
      </c>
      <c r="K53" s="3">
        <f>IF(ROW()-1&lt;=0,"",IF(ROW()-1&lt;=$L$2,IFERROR(INDEX(MCQ!$A:$K,ROW()-1+1,11),""),IF(ROW()-1&lt;=$L$2+$M$2,IFERROR(INDEX(CLOZE_AB!$A:$K,ROW()-1-$L$2+1,11),""),IF(ROW()-1&lt;=$L$2+$M$2+$N$2,IFERROR(INDEX(CLOZE_LIST!$A:$K,ROW()-1-$L$2-$M$2+1,11),""),IF(ROW()-1&lt;=$L$2+$M$2+$N$2+$O$2,IFERROR(INDEX(PROFORMA!$A:$K,ROW()-1-$L$2-$M$2-$N$2+1,11),""),"")))))</f>
        <v>1</v>
      </c>
      <c r="L53" s="3">
        <f>COUNTA(MCQ!$A:$A)-1</f>
        <v>122</v>
      </c>
      <c r="M53" s="3">
        <f>COUNTA(CLOZE_AB!$A:$A)-1</f>
        <v>168</v>
      </c>
      <c r="N53" s="3">
        <f>COUNTA(CLOZE_LIST!$A:$A)-1</f>
        <v>199</v>
      </c>
      <c r="O53" s="3">
        <f>COUNTA(PROFORMA!$A:$A)-1</f>
        <v>199</v>
      </c>
    </row>
    <row r="54" spans="1:15" ht="28.8" x14ac:dyDescent="0.3">
      <c r="A54" s="3" t="str">
        <f>IF(ROW()-1&lt;=0,"",IF(ROW()-1&lt;=$L$2,IFERROR(INDEX(MCQ!$A:$K,ROW()-1+1,1),""),IF(ROW()-1&lt;=$L$2+$M$2,IFERROR(INDEX(CLOZE_AB!$A:$K,ROW()-1-$L$2+1,1),""),IF(ROW()-1&lt;=$L$2+$M$2+$N$2,IFERROR(INDEX(CLOZE_LIST!$A:$K,ROW()-1-$L$2-$M$2+1,1),""),IF(ROW()-1&lt;=$L$2+$M$2+$N$2+$O$2,IFERROR(INDEX(PROFORMA!$A:$K,ROW()-1-$L$2-$M$2-$N$2+1,1),""),"")))))</f>
        <v>MCQ_ITNIC_CALC_DISALLOW_004</v>
      </c>
      <c r="B54" s="3" t="str">
        <f>IF(ROW()-1&lt;=0,"",IF(ROW()-1&lt;=$L$2,IFERROR(INDEX(MCQ!$A:$K,ROW()-1+1,2),""),IF(ROW()-1&lt;=$L$2+$M$2,IFERROR(INDEX(CLOZE_AB!$A:$K,ROW()-1-$L$2+1,2),""),IF(ROW()-1&lt;=$L$2+$M$2+$N$2,IFERROR(INDEX(CLOZE_LIST!$A:$K,ROW()-1-$L$2-$M$2+1,2),""),IF(ROW()-1&lt;=$L$2+$M$2+$N$2+$O$2,IFERROR(INDEX(PROFORMA!$A:$K,ROW()-1-$L$2-$M$2-$N$2+1,2),""),"")))))</f>
        <v>Income tax &amp; NIC</v>
      </c>
      <c r="C54" s="3" t="str">
        <f>IF(ROW()-1&lt;=0,"",IF(ROW()-1&lt;=$L$2,IFERROR(INDEX(MCQ!$A:$K,ROW()-1+1,3),""),IF(ROW()-1&lt;=$L$2+$M$2,IFERROR(INDEX(CLOZE_AB!$A:$K,ROW()-1-$L$2+1,3),""),IF(ROW()-1&lt;=$L$2+$M$2+$N$2,IFERROR(INDEX(CLOZE_LIST!$A:$K,ROW()-1-$L$2-$M$2+1,3),""),IF(ROW()-1&lt;=$L$2+$M$2+$N$2+$O$2,IFERROR(INDEX(PROFORMA!$A:$K,ROW()-1-$L$2-$M$2-$N$2+1,3),""),"")))))</f>
        <v>calculations</v>
      </c>
      <c r="D54" s="3" t="str">
        <f>IF(ROW()-1&lt;=0,"",IF(ROW()-1&lt;=$L$2,IFERROR(INDEX(MCQ!$A:$K,ROW()-1+1,4),""),IF(ROW()-1&lt;=$L$2+$M$2,IFERROR(INDEX(CLOZE_AB!$A:$K,ROW()-1-$L$2+1,4),""),IF(ROW()-1&lt;=$L$2+$M$2+$N$2,IFERROR(INDEX(CLOZE_LIST!$A:$K,ROW()-1-$L$2-$M$2+1,4),""),IF(ROW()-1&lt;=$L$2+$M$2+$N$2+$O$2,IFERROR(INDEX(PROFORMA!$A:$K,ROW()-1-$L$2-$M$2-$N$2+1,4),""),"")))))</f>
        <v>Disallowable trading expenses</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3</v>
      </c>
      <c r="G54" s="3" t="str">
        <f>IF(ROW()-1&lt;=0,"",IF(ROW()-1&lt;=$L$2,IFERROR(INDEX(MCQ!$A:$K,ROW()-1+1,7),""),IF(ROW()-1&lt;=$L$2+$M$2,IFERROR(INDEX(CLOZE_AB!$A:$K,ROW()-1-$L$2+1,7),""),IF(ROW()-1&lt;=$L$2+$M$2+$N$2,IFERROR(INDEX(CLOZE_LIST!$A:$K,ROW()-1-$L$2-$M$2+1,7),""),IF(ROW()-1&lt;=$L$2+$M$2+$N$2+$O$2,IFERROR(INDEX(PROFORMA!$A:$K,ROW()-1-$L$2-$M$2-$N$2+1,7),""),"")))))</f>
        <v>core</v>
      </c>
      <c r="H54" s="3" t="str">
        <f>IF(ROW()-1&lt;=0,"",IF(ROW()-1&lt;=$L$2,IFERROR(INDEX(MCQ!$A:$K,ROW()-1+1,8),""),IF(ROW()-1&lt;=$L$2+$M$2,IFERROR(INDEX(CLOZE_AB!$A:$K,ROW()-1-$L$2+1,8),""),IF(ROW()-1&lt;=$L$2+$M$2+$N$2,IFERROR(INDEX(CLOZE_LIST!$A:$K,ROW()-1-$L$2-$M$2+1,8),""),IF(ROW()-1&lt;=$L$2+$M$2+$N$2+$O$2,IFERROR(INDEX(PROFORMA!$A:$K,ROW()-1-$L$2-$M$2-$N$2+1,8),""),"")))))</f>
        <v>Y</v>
      </c>
      <c r="I54" s="3" t="str">
        <f>IF(ROW()-1&lt;=0,"",IF(ROW()-1&lt;=$L$2,IFERROR(INDEX(MCQ!$A:$K,ROW()-1+1,9),""),IF(ROW()-1&lt;=$L$2+$M$2,IFERROR(INDEX(CLOZE_AB!$A:$K,ROW()-1-$L$2+1,9),""),IF(ROW()-1&lt;=$L$2+$M$2+$N$2,IFERROR(INDEX(CLOZE_LIST!$A:$K,ROW()-1-$L$2-$M$2+1,9),""),IF(ROW()-1&lt;=$L$2+$M$2+$N$2+$O$2,IFERROR(INDEX(PROFORMA!$A:$K,ROW()-1-$L$2-$M$2-$N$2+1,9),""),"")))))</f>
        <v>disallowable;donations</v>
      </c>
      <c r="J54" s="3" t="str">
        <f>IF(ROW()-1&lt;=0,"",IF(ROW()-1&lt;=$L$2,IFERROR(INDEX(MCQ!$A:$K,ROW()-1+1,10),""),IF(ROW()-1&lt;=$L$2+$M$2,IFERROR(INDEX(CLOZE_AB!$A:$K,ROW()-1-$L$2+1,10),""),IF(ROW()-1&lt;=$L$2+$M$2+$N$2,IFERROR(INDEX(CLOZE_LIST!$A:$K,ROW()-1-$L$2-$M$2+1,10),""),IF(ROW()-1&lt;=$L$2+$M$2+$N$2+$O$2,IFERROR(INDEX(PROFORMA!$A:$K,ROW()-1-$L$2-$M$2-$N$2+1,10),""),"")))))</f>
        <v>assistant_generated</v>
      </c>
      <c r="K54" s="3">
        <f>IF(ROW()-1&lt;=0,"",IF(ROW()-1&lt;=$L$2,IFERROR(INDEX(MCQ!$A:$K,ROW()-1+1,11),""),IF(ROW()-1&lt;=$L$2+$M$2,IFERROR(INDEX(CLOZE_AB!$A:$K,ROW()-1-$L$2+1,11),""),IF(ROW()-1&lt;=$L$2+$M$2+$N$2,IFERROR(INDEX(CLOZE_LIST!$A:$K,ROW()-1-$L$2-$M$2+1,11),""),IF(ROW()-1&lt;=$L$2+$M$2+$N$2+$O$2,IFERROR(INDEX(PROFORMA!$A:$K,ROW()-1-$L$2-$M$2-$N$2+1,11),""),"")))))</f>
        <v>1</v>
      </c>
      <c r="L54" s="3">
        <f>COUNTA(MCQ!$A:$A)-1</f>
        <v>122</v>
      </c>
      <c r="M54" s="3">
        <f>COUNTA(CLOZE_AB!$A:$A)-1</f>
        <v>168</v>
      </c>
      <c r="N54" s="3">
        <f>COUNTA(CLOZE_LIST!$A:$A)-1</f>
        <v>199</v>
      </c>
      <c r="O54" s="3">
        <f>COUNTA(PROFORMA!$A:$A)-1</f>
        <v>199</v>
      </c>
    </row>
    <row r="55" spans="1:15" ht="28.8" x14ac:dyDescent="0.3">
      <c r="A55" s="3" t="str">
        <f>IF(ROW()-1&lt;=0,"",IF(ROW()-1&lt;=$L$2,IFERROR(INDEX(MCQ!$A:$K,ROW()-1+1,1),""),IF(ROW()-1&lt;=$L$2+$M$2,IFERROR(INDEX(CLOZE_AB!$A:$K,ROW()-1-$L$2+1,1),""),IF(ROW()-1&lt;=$L$2+$M$2+$N$2,IFERROR(INDEX(CLOZE_LIST!$A:$K,ROW()-1-$L$2-$M$2+1,1),""),IF(ROW()-1&lt;=$L$2+$M$2+$N$2+$O$2,IFERROR(INDEX(PROFORMA!$A:$K,ROW()-1-$L$2-$M$2-$N$2+1,1),""),"")))))</f>
        <v>MCQ_ITNIC_CALC_DISALLOW_005</v>
      </c>
      <c r="B55" s="3" t="str">
        <f>IF(ROW()-1&lt;=0,"",IF(ROW()-1&lt;=$L$2,IFERROR(INDEX(MCQ!$A:$K,ROW()-1+1,2),""),IF(ROW()-1&lt;=$L$2+$M$2,IFERROR(INDEX(CLOZE_AB!$A:$K,ROW()-1-$L$2+1,2),""),IF(ROW()-1&lt;=$L$2+$M$2+$N$2,IFERROR(INDEX(CLOZE_LIST!$A:$K,ROW()-1-$L$2-$M$2+1,2),""),IF(ROW()-1&lt;=$L$2+$M$2+$N$2+$O$2,IFERROR(INDEX(PROFORMA!$A:$K,ROW()-1-$L$2-$M$2-$N$2+1,2),""),"")))))</f>
        <v>Income tax &amp; NIC</v>
      </c>
      <c r="C55" s="3" t="str">
        <f>IF(ROW()-1&lt;=0,"",IF(ROW()-1&lt;=$L$2,IFERROR(INDEX(MCQ!$A:$K,ROW()-1+1,3),""),IF(ROW()-1&lt;=$L$2+$M$2,IFERROR(INDEX(CLOZE_AB!$A:$K,ROW()-1-$L$2+1,3),""),IF(ROW()-1&lt;=$L$2+$M$2+$N$2,IFERROR(INDEX(CLOZE_LIST!$A:$K,ROW()-1-$L$2-$M$2+1,3),""),IF(ROW()-1&lt;=$L$2+$M$2+$N$2+$O$2,IFERROR(INDEX(PROFORMA!$A:$K,ROW()-1-$L$2-$M$2-$N$2+1,3),""),"")))))</f>
        <v>calculations</v>
      </c>
      <c r="D55" s="3" t="str">
        <f>IF(ROW()-1&lt;=0,"",IF(ROW()-1&lt;=$L$2,IFERROR(INDEX(MCQ!$A:$K,ROW()-1+1,4),""),IF(ROW()-1&lt;=$L$2+$M$2,IFERROR(INDEX(CLOZE_AB!$A:$K,ROW()-1-$L$2+1,4),""),IF(ROW()-1&lt;=$L$2+$M$2+$N$2,IFERROR(INDEX(CLOZE_LIST!$A:$K,ROW()-1-$L$2-$M$2+1,4),""),IF(ROW()-1&lt;=$L$2+$M$2+$N$2+$O$2,IFERROR(INDEX(PROFORMA!$A:$K,ROW()-1-$L$2-$M$2-$N$2+1,4),""),"")))))</f>
        <v>Disallowable trading expenses</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3</v>
      </c>
      <c r="G55" s="3" t="str">
        <f>IF(ROW()-1&lt;=0,"",IF(ROW()-1&lt;=$L$2,IFERROR(INDEX(MCQ!$A:$K,ROW()-1+1,7),""),IF(ROW()-1&lt;=$L$2+$M$2,IFERROR(INDEX(CLOZE_AB!$A:$K,ROW()-1-$L$2+1,7),""),IF(ROW()-1&lt;=$L$2+$M$2+$N$2,IFERROR(INDEX(CLOZE_LIST!$A:$K,ROW()-1-$L$2-$M$2+1,7),""),IF(ROW()-1&lt;=$L$2+$M$2+$N$2+$O$2,IFERROR(INDEX(PROFORMA!$A:$K,ROW()-1-$L$2-$M$2-$N$2+1,7),""),"")))))</f>
        <v>core</v>
      </c>
      <c r="H55" s="3" t="str">
        <f>IF(ROW()-1&lt;=0,"",IF(ROW()-1&lt;=$L$2,IFERROR(INDEX(MCQ!$A:$K,ROW()-1+1,8),""),IF(ROW()-1&lt;=$L$2+$M$2,IFERROR(INDEX(CLOZE_AB!$A:$K,ROW()-1-$L$2+1,8),""),IF(ROW()-1&lt;=$L$2+$M$2+$N$2,IFERROR(INDEX(CLOZE_LIST!$A:$K,ROW()-1-$L$2-$M$2+1,8),""),IF(ROW()-1&lt;=$L$2+$M$2+$N$2+$O$2,IFERROR(INDEX(PROFORMA!$A:$K,ROW()-1-$L$2-$M$2-$N$2+1,8),""),"")))))</f>
        <v>Y</v>
      </c>
      <c r="I55" s="3" t="str">
        <f>IF(ROW()-1&lt;=0,"",IF(ROW()-1&lt;=$L$2,IFERROR(INDEX(MCQ!$A:$K,ROW()-1+1,9),""),IF(ROW()-1&lt;=$L$2+$M$2,IFERROR(INDEX(CLOZE_AB!$A:$K,ROW()-1-$L$2+1,9),""),IF(ROW()-1&lt;=$L$2+$M$2+$N$2,IFERROR(INDEX(CLOZE_LIST!$A:$K,ROW()-1-$L$2-$M$2+1,9),""),IF(ROW()-1&lt;=$L$2+$M$2+$N$2+$O$2,IFERROR(INDEX(PROFORMA!$A:$K,ROW()-1-$L$2-$M$2-$N$2+1,9),""),"")))))</f>
        <v>disallowable;medical</v>
      </c>
      <c r="J55" s="3" t="str">
        <f>IF(ROW()-1&lt;=0,"",IF(ROW()-1&lt;=$L$2,IFERROR(INDEX(MCQ!$A:$K,ROW()-1+1,10),""),IF(ROW()-1&lt;=$L$2+$M$2,IFERROR(INDEX(CLOZE_AB!$A:$K,ROW()-1-$L$2+1,10),""),IF(ROW()-1&lt;=$L$2+$M$2+$N$2,IFERROR(INDEX(CLOZE_LIST!$A:$K,ROW()-1-$L$2-$M$2+1,10),""),IF(ROW()-1&lt;=$L$2+$M$2+$N$2+$O$2,IFERROR(INDEX(PROFORMA!$A:$K,ROW()-1-$L$2-$M$2-$N$2+1,10),""),"")))))</f>
        <v>assistant_generated</v>
      </c>
      <c r="K55" s="3">
        <f>IF(ROW()-1&lt;=0,"",IF(ROW()-1&lt;=$L$2,IFERROR(INDEX(MCQ!$A:$K,ROW()-1+1,11),""),IF(ROW()-1&lt;=$L$2+$M$2,IFERROR(INDEX(CLOZE_AB!$A:$K,ROW()-1-$L$2+1,11),""),IF(ROW()-1&lt;=$L$2+$M$2+$N$2,IFERROR(INDEX(CLOZE_LIST!$A:$K,ROW()-1-$L$2-$M$2+1,11),""),IF(ROW()-1&lt;=$L$2+$M$2+$N$2+$O$2,IFERROR(INDEX(PROFORMA!$A:$K,ROW()-1-$L$2-$M$2-$N$2+1,11),""),"")))))</f>
        <v>1</v>
      </c>
      <c r="L55" s="3">
        <f>COUNTA(MCQ!$A:$A)-1</f>
        <v>122</v>
      </c>
      <c r="M55" s="3">
        <f>COUNTA(CLOZE_AB!$A:$A)-1</f>
        <v>168</v>
      </c>
      <c r="N55" s="3">
        <f>COUNTA(CLOZE_LIST!$A:$A)-1</f>
        <v>199</v>
      </c>
      <c r="O55" s="3">
        <f>COUNTA(PROFORMA!$A:$A)-1</f>
        <v>199</v>
      </c>
    </row>
    <row r="56" spans="1:15" ht="28.8" x14ac:dyDescent="0.3">
      <c r="A56" s="3" t="str">
        <f>IF(ROW()-1&lt;=0,"",IF(ROW()-1&lt;=$L$2,IFERROR(INDEX(MCQ!$A:$K,ROW()-1+1,1),""),IF(ROW()-1&lt;=$L$2+$M$2,IFERROR(INDEX(CLOZE_AB!$A:$K,ROW()-1-$L$2+1,1),""),IF(ROW()-1&lt;=$L$2+$M$2+$N$2,IFERROR(INDEX(CLOZE_LIST!$A:$K,ROW()-1-$L$2-$M$2+1,1),""),IF(ROW()-1&lt;=$L$2+$M$2+$N$2+$O$2,IFERROR(INDEX(PROFORMA!$A:$K,ROW()-1-$L$2-$M$2-$N$2+1,1),""),"")))))</f>
        <v>MCQ_ITNIC_CALC_DISALLOW_006</v>
      </c>
      <c r="B56" s="3" t="str">
        <f>IF(ROW()-1&lt;=0,"",IF(ROW()-1&lt;=$L$2,IFERROR(INDEX(MCQ!$A:$K,ROW()-1+1,2),""),IF(ROW()-1&lt;=$L$2+$M$2,IFERROR(INDEX(CLOZE_AB!$A:$K,ROW()-1-$L$2+1,2),""),IF(ROW()-1&lt;=$L$2+$M$2+$N$2,IFERROR(INDEX(CLOZE_LIST!$A:$K,ROW()-1-$L$2-$M$2+1,2),""),IF(ROW()-1&lt;=$L$2+$M$2+$N$2+$O$2,IFERROR(INDEX(PROFORMA!$A:$K,ROW()-1-$L$2-$M$2-$N$2+1,2),""),"")))))</f>
        <v>Income tax &amp; NIC</v>
      </c>
      <c r="C56" s="3" t="str">
        <f>IF(ROW()-1&lt;=0,"",IF(ROW()-1&lt;=$L$2,IFERROR(INDEX(MCQ!$A:$K,ROW()-1+1,3),""),IF(ROW()-1&lt;=$L$2+$M$2,IFERROR(INDEX(CLOZE_AB!$A:$K,ROW()-1-$L$2+1,3),""),IF(ROW()-1&lt;=$L$2+$M$2+$N$2,IFERROR(INDEX(CLOZE_LIST!$A:$K,ROW()-1-$L$2-$M$2+1,3),""),IF(ROW()-1&lt;=$L$2+$M$2+$N$2+$O$2,IFERROR(INDEX(PROFORMA!$A:$K,ROW()-1-$L$2-$M$2-$N$2+1,3),""),"")))))</f>
        <v>calculations</v>
      </c>
      <c r="D56" s="3" t="str">
        <f>IF(ROW()-1&lt;=0,"",IF(ROW()-1&lt;=$L$2,IFERROR(INDEX(MCQ!$A:$K,ROW()-1+1,4),""),IF(ROW()-1&lt;=$L$2+$M$2,IFERROR(INDEX(CLOZE_AB!$A:$K,ROW()-1-$L$2+1,4),""),IF(ROW()-1&lt;=$L$2+$M$2+$N$2,IFERROR(INDEX(CLOZE_LIST!$A:$K,ROW()-1-$L$2-$M$2+1,4),""),IF(ROW()-1&lt;=$L$2+$M$2+$N$2+$O$2,IFERROR(INDEX(PROFORMA!$A:$K,ROW()-1-$L$2-$M$2-$N$2+1,4),""),"")))))</f>
        <v>Disallowable trading expenses</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3</v>
      </c>
      <c r="G56" s="3" t="str">
        <f>IF(ROW()-1&lt;=0,"",IF(ROW()-1&lt;=$L$2,IFERROR(INDEX(MCQ!$A:$K,ROW()-1+1,7),""),IF(ROW()-1&lt;=$L$2+$M$2,IFERROR(INDEX(CLOZE_AB!$A:$K,ROW()-1-$L$2+1,7),""),IF(ROW()-1&lt;=$L$2+$M$2+$N$2,IFERROR(INDEX(CLOZE_LIST!$A:$K,ROW()-1-$L$2-$M$2+1,7),""),IF(ROW()-1&lt;=$L$2+$M$2+$N$2+$O$2,IFERROR(INDEX(PROFORMA!$A:$K,ROW()-1-$L$2-$M$2-$N$2+1,7),""),"")))))</f>
        <v>core</v>
      </c>
      <c r="H56" s="3" t="str">
        <f>IF(ROW()-1&lt;=0,"",IF(ROW()-1&lt;=$L$2,IFERROR(INDEX(MCQ!$A:$K,ROW()-1+1,8),""),IF(ROW()-1&lt;=$L$2+$M$2,IFERROR(INDEX(CLOZE_AB!$A:$K,ROW()-1-$L$2+1,8),""),IF(ROW()-1&lt;=$L$2+$M$2+$N$2,IFERROR(INDEX(CLOZE_LIST!$A:$K,ROW()-1-$L$2-$M$2+1,8),""),IF(ROW()-1&lt;=$L$2+$M$2+$N$2+$O$2,IFERROR(INDEX(PROFORMA!$A:$K,ROW()-1-$L$2-$M$2-$N$2+1,8),""),"")))))</f>
        <v>Y</v>
      </c>
      <c r="I56" s="3" t="str">
        <f>IF(ROW()-1&lt;=0,"",IF(ROW()-1&lt;=$L$2,IFERROR(INDEX(MCQ!$A:$K,ROW()-1+1,9),""),IF(ROW()-1&lt;=$L$2+$M$2,IFERROR(INDEX(CLOZE_AB!$A:$K,ROW()-1-$L$2+1,9),""),IF(ROW()-1&lt;=$L$2+$M$2+$N$2,IFERROR(INDEX(CLOZE_LIST!$A:$K,ROW()-1-$L$2-$M$2+1,9),""),IF(ROW()-1&lt;=$L$2+$M$2+$N$2+$O$2,IFERROR(INDEX(PROFORMA!$A:$K,ROW()-1-$L$2-$M$2-$N$2+1,9),""),"")))))</f>
        <v>disallowable;bad_debt</v>
      </c>
      <c r="J56" s="3" t="str">
        <f>IF(ROW()-1&lt;=0,"",IF(ROW()-1&lt;=$L$2,IFERROR(INDEX(MCQ!$A:$K,ROW()-1+1,10),""),IF(ROW()-1&lt;=$L$2+$M$2,IFERROR(INDEX(CLOZE_AB!$A:$K,ROW()-1-$L$2+1,10),""),IF(ROW()-1&lt;=$L$2+$M$2+$N$2,IFERROR(INDEX(CLOZE_LIST!$A:$K,ROW()-1-$L$2-$M$2+1,10),""),IF(ROW()-1&lt;=$L$2+$M$2+$N$2+$O$2,IFERROR(INDEX(PROFORMA!$A:$K,ROW()-1-$L$2-$M$2-$N$2+1,10),""),"")))))</f>
        <v>assistant_generated</v>
      </c>
      <c r="K56" s="3">
        <f>IF(ROW()-1&lt;=0,"",IF(ROW()-1&lt;=$L$2,IFERROR(INDEX(MCQ!$A:$K,ROW()-1+1,11),""),IF(ROW()-1&lt;=$L$2+$M$2,IFERROR(INDEX(CLOZE_AB!$A:$K,ROW()-1-$L$2+1,11),""),IF(ROW()-1&lt;=$L$2+$M$2+$N$2,IFERROR(INDEX(CLOZE_LIST!$A:$K,ROW()-1-$L$2-$M$2+1,11),""),IF(ROW()-1&lt;=$L$2+$M$2+$N$2+$O$2,IFERROR(INDEX(PROFORMA!$A:$K,ROW()-1-$L$2-$M$2-$N$2+1,11),""),"")))))</f>
        <v>1</v>
      </c>
      <c r="L56" s="3">
        <f>COUNTA(MCQ!$A:$A)-1</f>
        <v>122</v>
      </c>
      <c r="M56" s="3">
        <f>COUNTA(CLOZE_AB!$A:$A)-1</f>
        <v>168</v>
      </c>
      <c r="N56" s="3">
        <f>COUNTA(CLOZE_LIST!$A:$A)-1</f>
        <v>199</v>
      </c>
      <c r="O56" s="3">
        <f>COUNTA(PROFORMA!$A:$A)-1</f>
        <v>199</v>
      </c>
    </row>
    <row r="57" spans="1:15" ht="28.8" x14ac:dyDescent="0.3">
      <c r="A57" s="3" t="str">
        <f>IF(ROW()-1&lt;=0,"",IF(ROW()-1&lt;=$L$2,IFERROR(INDEX(MCQ!$A:$K,ROW()-1+1,1),""),IF(ROW()-1&lt;=$L$2+$M$2,IFERROR(INDEX(CLOZE_AB!$A:$K,ROW()-1-$L$2+1,1),""),IF(ROW()-1&lt;=$L$2+$M$2+$N$2,IFERROR(INDEX(CLOZE_LIST!$A:$K,ROW()-1-$L$2-$M$2+1,1),""),IF(ROW()-1&lt;=$L$2+$M$2+$N$2+$O$2,IFERROR(INDEX(PROFORMA!$A:$K,ROW()-1-$L$2-$M$2-$N$2+1,1),""),"")))))</f>
        <v>MCQ_ITNIC_CALC_DISALLOW_007</v>
      </c>
      <c r="B57" s="3" t="str">
        <f>IF(ROW()-1&lt;=0,"",IF(ROW()-1&lt;=$L$2,IFERROR(INDEX(MCQ!$A:$K,ROW()-1+1,2),""),IF(ROW()-1&lt;=$L$2+$M$2,IFERROR(INDEX(CLOZE_AB!$A:$K,ROW()-1-$L$2+1,2),""),IF(ROW()-1&lt;=$L$2+$M$2+$N$2,IFERROR(INDEX(CLOZE_LIST!$A:$K,ROW()-1-$L$2-$M$2+1,2),""),IF(ROW()-1&lt;=$L$2+$M$2+$N$2+$O$2,IFERROR(INDEX(PROFORMA!$A:$K,ROW()-1-$L$2-$M$2-$N$2+1,2),""),"")))))</f>
        <v>Income tax &amp; NIC</v>
      </c>
      <c r="C57" s="3" t="str">
        <f>IF(ROW()-1&lt;=0,"",IF(ROW()-1&lt;=$L$2,IFERROR(INDEX(MCQ!$A:$K,ROW()-1+1,3),""),IF(ROW()-1&lt;=$L$2+$M$2,IFERROR(INDEX(CLOZE_AB!$A:$K,ROW()-1-$L$2+1,3),""),IF(ROW()-1&lt;=$L$2+$M$2+$N$2,IFERROR(INDEX(CLOZE_LIST!$A:$K,ROW()-1-$L$2-$M$2+1,3),""),IF(ROW()-1&lt;=$L$2+$M$2+$N$2+$O$2,IFERROR(INDEX(PROFORMA!$A:$K,ROW()-1-$L$2-$M$2-$N$2+1,3),""),"")))))</f>
        <v>calculations</v>
      </c>
      <c r="D57" s="3" t="str">
        <f>IF(ROW()-1&lt;=0,"",IF(ROW()-1&lt;=$L$2,IFERROR(INDEX(MCQ!$A:$K,ROW()-1+1,4),""),IF(ROW()-1&lt;=$L$2+$M$2,IFERROR(INDEX(CLOZE_AB!$A:$K,ROW()-1-$L$2+1,4),""),IF(ROW()-1&lt;=$L$2+$M$2+$N$2,IFERROR(INDEX(CLOZE_LIST!$A:$K,ROW()-1-$L$2-$M$2+1,4),""),IF(ROW()-1&lt;=$L$2+$M$2+$N$2+$O$2,IFERROR(INDEX(PROFORMA!$A:$K,ROW()-1-$L$2-$M$2-$N$2+1,4),""),"")))))</f>
        <v>Disallowable trading expenses</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3</v>
      </c>
      <c r="G57" s="3" t="str">
        <f>IF(ROW()-1&lt;=0,"",IF(ROW()-1&lt;=$L$2,IFERROR(INDEX(MCQ!$A:$K,ROW()-1+1,7),""),IF(ROW()-1&lt;=$L$2+$M$2,IFERROR(INDEX(CLOZE_AB!$A:$K,ROW()-1-$L$2+1,7),""),IF(ROW()-1&lt;=$L$2+$M$2+$N$2,IFERROR(INDEX(CLOZE_LIST!$A:$K,ROW()-1-$L$2-$M$2+1,7),""),IF(ROW()-1&lt;=$L$2+$M$2+$N$2+$O$2,IFERROR(INDEX(PROFORMA!$A:$K,ROW()-1-$L$2-$M$2-$N$2+1,7),""),"")))))</f>
        <v>core</v>
      </c>
      <c r="H57" s="3" t="str">
        <f>IF(ROW()-1&lt;=0,"",IF(ROW()-1&lt;=$L$2,IFERROR(INDEX(MCQ!$A:$K,ROW()-1+1,8),""),IF(ROW()-1&lt;=$L$2+$M$2,IFERROR(INDEX(CLOZE_AB!$A:$K,ROW()-1-$L$2+1,8),""),IF(ROW()-1&lt;=$L$2+$M$2+$N$2,IFERROR(INDEX(CLOZE_LIST!$A:$K,ROW()-1-$L$2-$M$2+1,8),""),IF(ROW()-1&lt;=$L$2+$M$2+$N$2+$O$2,IFERROR(INDEX(PROFORMA!$A:$K,ROW()-1-$L$2-$M$2-$N$2+1,8),""),"")))))</f>
        <v>Y</v>
      </c>
      <c r="I57" s="3" t="str">
        <f>IF(ROW()-1&lt;=0,"",IF(ROW()-1&lt;=$L$2,IFERROR(INDEX(MCQ!$A:$K,ROW()-1+1,9),""),IF(ROW()-1&lt;=$L$2+$M$2,IFERROR(INDEX(CLOZE_AB!$A:$K,ROW()-1-$L$2+1,9),""),IF(ROW()-1&lt;=$L$2+$M$2+$N$2,IFERROR(INDEX(CLOZE_LIST!$A:$K,ROW()-1-$L$2-$M$2+1,9),""),IF(ROW()-1&lt;=$L$2+$M$2+$N$2+$O$2,IFERROR(INDEX(PROFORMA!$A:$K,ROW()-1-$L$2-$M$2-$N$2+1,9),""),"")))))</f>
        <v>disallowable;provision</v>
      </c>
      <c r="J57" s="3" t="str">
        <f>IF(ROW()-1&lt;=0,"",IF(ROW()-1&lt;=$L$2,IFERROR(INDEX(MCQ!$A:$K,ROW()-1+1,10),""),IF(ROW()-1&lt;=$L$2+$M$2,IFERROR(INDEX(CLOZE_AB!$A:$K,ROW()-1-$L$2+1,10),""),IF(ROW()-1&lt;=$L$2+$M$2+$N$2,IFERROR(INDEX(CLOZE_LIST!$A:$K,ROW()-1-$L$2-$M$2+1,10),""),IF(ROW()-1&lt;=$L$2+$M$2+$N$2+$O$2,IFERROR(INDEX(PROFORMA!$A:$K,ROW()-1-$L$2-$M$2-$N$2+1,10),""),"")))))</f>
        <v>assistant_generated</v>
      </c>
      <c r="K57" s="3">
        <f>IF(ROW()-1&lt;=0,"",IF(ROW()-1&lt;=$L$2,IFERROR(INDEX(MCQ!$A:$K,ROW()-1+1,11),""),IF(ROW()-1&lt;=$L$2+$M$2,IFERROR(INDEX(CLOZE_AB!$A:$K,ROW()-1-$L$2+1,11),""),IF(ROW()-1&lt;=$L$2+$M$2+$N$2,IFERROR(INDEX(CLOZE_LIST!$A:$K,ROW()-1-$L$2-$M$2+1,11),""),IF(ROW()-1&lt;=$L$2+$M$2+$N$2+$O$2,IFERROR(INDEX(PROFORMA!$A:$K,ROW()-1-$L$2-$M$2-$N$2+1,11),""),"")))))</f>
        <v>1</v>
      </c>
      <c r="L57" s="3">
        <f>COUNTA(MCQ!$A:$A)-1</f>
        <v>122</v>
      </c>
      <c r="M57" s="3">
        <f>COUNTA(CLOZE_AB!$A:$A)-1</f>
        <v>168</v>
      </c>
      <c r="N57" s="3">
        <f>COUNTA(CLOZE_LIST!$A:$A)-1</f>
        <v>199</v>
      </c>
      <c r="O57" s="3">
        <f>COUNTA(PROFORMA!$A:$A)-1</f>
        <v>199</v>
      </c>
    </row>
    <row r="58" spans="1:15" ht="28.8" x14ac:dyDescent="0.3">
      <c r="A58" s="3" t="str">
        <f>IF(ROW()-1&lt;=0,"",IF(ROW()-1&lt;=$L$2,IFERROR(INDEX(MCQ!$A:$K,ROW()-1+1,1),""),IF(ROW()-1&lt;=$L$2+$M$2,IFERROR(INDEX(CLOZE_AB!$A:$K,ROW()-1-$L$2+1,1),""),IF(ROW()-1&lt;=$L$2+$M$2+$N$2,IFERROR(INDEX(CLOZE_LIST!$A:$K,ROW()-1-$L$2-$M$2+1,1),""),IF(ROW()-1&lt;=$L$2+$M$2+$N$2+$O$2,IFERROR(INDEX(PROFORMA!$A:$K,ROW()-1-$L$2-$M$2-$N$2+1,1),""),"")))))</f>
        <v>MCQ_ITNIC_CALC_DISALLOW_008</v>
      </c>
      <c r="B58" s="3" t="str">
        <f>IF(ROW()-1&lt;=0,"",IF(ROW()-1&lt;=$L$2,IFERROR(INDEX(MCQ!$A:$K,ROW()-1+1,2),""),IF(ROW()-1&lt;=$L$2+$M$2,IFERROR(INDEX(CLOZE_AB!$A:$K,ROW()-1-$L$2+1,2),""),IF(ROW()-1&lt;=$L$2+$M$2+$N$2,IFERROR(INDEX(CLOZE_LIST!$A:$K,ROW()-1-$L$2-$M$2+1,2),""),IF(ROW()-1&lt;=$L$2+$M$2+$N$2+$O$2,IFERROR(INDEX(PROFORMA!$A:$K,ROW()-1-$L$2-$M$2-$N$2+1,2),""),"")))))</f>
        <v>Income tax &amp; NIC</v>
      </c>
      <c r="C58" s="3" t="str">
        <f>IF(ROW()-1&lt;=0,"",IF(ROW()-1&lt;=$L$2,IFERROR(INDEX(MCQ!$A:$K,ROW()-1+1,3),""),IF(ROW()-1&lt;=$L$2+$M$2,IFERROR(INDEX(CLOZE_AB!$A:$K,ROW()-1-$L$2+1,3),""),IF(ROW()-1&lt;=$L$2+$M$2+$N$2,IFERROR(INDEX(CLOZE_LIST!$A:$K,ROW()-1-$L$2-$M$2+1,3),""),IF(ROW()-1&lt;=$L$2+$M$2+$N$2+$O$2,IFERROR(INDEX(PROFORMA!$A:$K,ROW()-1-$L$2-$M$2-$N$2+1,3),""),"")))))</f>
        <v>calculations</v>
      </c>
      <c r="D58" s="3" t="str">
        <f>IF(ROW()-1&lt;=0,"",IF(ROW()-1&lt;=$L$2,IFERROR(INDEX(MCQ!$A:$K,ROW()-1+1,4),""),IF(ROW()-1&lt;=$L$2+$M$2,IFERROR(INDEX(CLOZE_AB!$A:$K,ROW()-1-$L$2+1,4),""),IF(ROW()-1&lt;=$L$2+$M$2+$N$2,IFERROR(INDEX(CLOZE_LIST!$A:$K,ROW()-1-$L$2-$M$2+1,4),""),IF(ROW()-1&lt;=$L$2+$M$2+$N$2+$O$2,IFERROR(INDEX(PROFORMA!$A:$K,ROW()-1-$L$2-$M$2-$N$2+1,4),""),"")))))</f>
        <v>Disallowable trading expenses</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3</v>
      </c>
      <c r="G58" s="3" t="str">
        <f>IF(ROW()-1&lt;=0,"",IF(ROW()-1&lt;=$L$2,IFERROR(INDEX(MCQ!$A:$K,ROW()-1+1,7),""),IF(ROW()-1&lt;=$L$2+$M$2,IFERROR(INDEX(CLOZE_AB!$A:$K,ROW()-1-$L$2+1,7),""),IF(ROW()-1&lt;=$L$2+$M$2+$N$2,IFERROR(INDEX(CLOZE_LIST!$A:$K,ROW()-1-$L$2-$M$2+1,7),""),IF(ROW()-1&lt;=$L$2+$M$2+$N$2+$O$2,IFERROR(INDEX(PROFORMA!$A:$K,ROW()-1-$L$2-$M$2-$N$2+1,7),""),"")))))</f>
        <v>core</v>
      </c>
      <c r="H58" s="3" t="str">
        <f>IF(ROW()-1&lt;=0,"",IF(ROW()-1&lt;=$L$2,IFERROR(INDEX(MCQ!$A:$K,ROW()-1+1,8),""),IF(ROW()-1&lt;=$L$2+$M$2,IFERROR(INDEX(CLOZE_AB!$A:$K,ROW()-1-$L$2+1,8),""),IF(ROW()-1&lt;=$L$2+$M$2+$N$2,IFERROR(INDEX(CLOZE_LIST!$A:$K,ROW()-1-$L$2-$M$2+1,8),""),IF(ROW()-1&lt;=$L$2+$M$2+$N$2+$O$2,IFERROR(INDEX(PROFORMA!$A:$K,ROW()-1-$L$2-$M$2-$N$2+1,8),""),"")))))</f>
        <v>Y</v>
      </c>
      <c r="I58" s="3" t="str">
        <f>IF(ROW()-1&lt;=0,"",IF(ROW()-1&lt;=$L$2,IFERROR(INDEX(MCQ!$A:$K,ROW()-1+1,9),""),IF(ROW()-1&lt;=$L$2+$M$2,IFERROR(INDEX(CLOZE_AB!$A:$K,ROW()-1-$L$2+1,9),""),IF(ROW()-1&lt;=$L$2+$M$2+$N$2,IFERROR(INDEX(CLOZE_LIST!$A:$K,ROW()-1-$L$2-$M$2+1,9),""),IF(ROW()-1&lt;=$L$2+$M$2+$N$2+$O$2,IFERROR(INDEX(PROFORMA!$A:$K,ROW()-1-$L$2-$M$2-$N$2+1,9),""),"")))))</f>
        <v>disallowable;entertaining</v>
      </c>
      <c r="J58" s="3" t="str">
        <f>IF(ROW()-1&lt;=0,"",IF(ROW()-1&lt;=$L$2,IFERROR(INDEX(MCQ!$A:$K,ROW()-1+1,10),""),IF(ROW()-1&lt;=$L$2+$M$2,IFERROR(INDEX(CLOZE_AB!$A:$K,ROW()-1-$L$2+1,10),""),IF(ROW()-1&lt;=$L$2+$M$2+$N$2,IFERROR(INDEX(CLOZE_LIST!$A:$K,ROW()-1-$L$2-$M$2+1,10),""),IF(ROW()-1&lt;=$L$2+$M$2+$N$2+$O$2,IFERROR(INDEX(PROFORMA!$A:$K,ROW()-1-$L$2-$M$2-$N$2+1,10),""),"")))))</f>
        <v>assistant_generated</v>
      </c>
      <c r="K58" s="3">
        <f>IF(ROW()-1&lt;=0,"",IF(ROW()-1&lt;=$L$2,IFERROR(INDEX(MCQ!$A:$K,ROW()-1+1,11),""),IF(ROW()-1&lt;=$L$2+$M$2,IFERROR(INDEX(CLOZE_AB!$A:$K,ROW()-1-$L$2+1,11),""),IF(ROW()-1&lt;=$L$2+$M$2+$N$2,IFERROR(INDEX(CLOZE_LIST!$A:$K,ROW()-1-$L$2-$M$2+1,11),""),IF(ROW()-1&lt;=$L$2+$M$2+$N$2+$O$2,IFERROR(INDEX(PROFORMA!$A:$K,ROW()-1-$L$2-$M$2-$N$2+1,11),""),"")))))</f>
        <v>1</v>
      </c>
      <c r="L58" s="3">
        <f>COUNTA(MCQ!$A:$A)-1</f>
        <v>122</v>
      </c>
      <c r="M58" s="3">
        <f>COUNTA(CLOZE_AB!$A:$A)-1</f>
        <v>168</v>
      </c>
      <c r="N58" s="3">
        <f>COUNTA(CLOZE_LIST!$A:$A)-1</f>
        <v>199</v>
      </c>
      <c r="O58" s="3">
        <f>COUNTA(PROFORMA!$A:$A)-1</f>
        <v>199</v>
      </c>
    </row>
    <row r="59" spans="1:15" ht="28.8" x14ac:dyDescent="0.3">
      <c r="A59" s="3" t="str">
        <f>IF(ROW()-1&lt;=0,"",IF(ROW()-1&lt;=$L$2,IFERROR(INDEX(MCQ!$A:$K,ROW()-1+1,1),""),IF(ROW()-1&lt;=$L$2+$M$2,IFERROR(INDEX(CLOZE_AB!$A:$K,ROW()-1-$L$2+1,1),""),IF(ROW()-1&lt;=$L$2+$M$2+$N$2,IFERROR(INDEX(CLOZE_LIST!$A:$K,ROW()-1-$L$2-$M$2+1,1),""),IF(ROW()-1&lt;=$L$2+$M$2+$N$2+$O$2,IFERROR(INDEX(PROFORMA!$A:$K,ROW()-1-$L$2-$M$2-$N$2+1,1),""),"")))))</f>
        <v>MCQ_ITNIC_CALC_DISALLOW_009</v>
      </c>
      <c r="B59" s="3" t="str">
        <f>IF(ROW()-1&lt;=0,"",IF(ROW()-1&lt;=$L$2,IFERROR(INDEX(MCQ!$A:$K,ROW()-1+1,2),""),IF(ROW()-1&lt;=$L$2+$M$2,IFERROR(INDEX(CLOZE_AB!$A:$K,ROW()-1-$L$2+1,2),""),IF(ROW()-1&lt;=$L$2+$M$2+$N$2,IFERROR(INDEX(CLOZE_LIST!$A:$K,ROW()-1-$L$2-$M$2+1,2),""),IF(ROW()-1&lt;=$L$2+$M$2+$N$2+$O$2,IFERROR(INDEX(PROFORMA!$A:$K,ROW()-1-$L$2-$M$2-$N$2+1,2),""),"")))))</f>
        <v>Income tax &amp; NIC</v>
      </c>
      <c r="C59" s="3" t="str">
        <f>IF(ROW()-1&lt;=0,"",IF(ROW()-1&lt;=$L$2,IFERROR(INDEX(MCQ!$A:$K,ROW()-1+1,3),""),IF(ROW()-1&lt;=$L$2+$M$2,IFERROR(INDEX(CLOZE_AB!$A:$K,ROW()-1-$L$2+1,3),""),IF(ROW()-1&lt;=$L$2+$M$2+$N$2,IFERROR(INDEX(CLOZE_LIST!$A:$K,ROW()-1-$L$2-$M$2+1,3),""),IF(ROW()-1&lt;=$L$2+$M$2+$N$2+$O$2,IFERROR(INDEX(PROFORMA!$A:$K,ROW()-1-$L$2-$M$2-$N$2+1,3),""),"")))))</f>
        <v>calculations</v>
      </c>
      <c r="D59" s="3" t="str">
        <f>IF(ROW()-1&lt;=0,"",IF(ROW()-1&lt;=$L$2,IFERROR(INDEX(MCQ!$A:$K,ROW()-1+1,4),""),IF(ROW()-1&lt;=$L$2+$M$2,IFERROR(INDEX(CLOZE_AB!$A:$K,ROW()-1-$L$2+1,4),""),IF(ROW()-1&lt;=$L$2+$M$2+$N$2,IFERROR(INDEX(CLOZE_LIST!$A:$K,ROW()-1-$L$2-$M$2+1,4),""),IF(ROW()-1&lt;=$L$2+$M$2+$N$2+$O$2,IFERROR(INDEX(PROFORMA!$A:$K,ROW()-1-$L$2-$M$2-$N$2+1,4),""),"")))))</f>
        <v>Disallowable trading expenses</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3</v>
      </c>
      <c r="G59" s="3" t="str">
        <f>IF(ROW()-1&lt;=0,"",IF(ROW()-1&lt;=$L$2,IFERROR(INDEX(MCQ!$A:$K,ROW()-1+1,7),""),IF(ROW()-1&lt;=$L$2+$M$2,IFERROR(INDEX(CLOZE_AB!$A:$K,ROW()-1-$L$2+1,7),""),IF(ROW()-1&lt;=$L$2+$M$2+$N$2,IFERROR(INDEX(CLOZE_LIST!$A:$K,ROW()-1-$L$2-$M$2+1,7),""),IF(ROW()-1&lt;=$L$2+$M$2+$N$2+$O$2,IFERROR(INDEX(PROFORMA!$A:$K,ROW()-1-$L$2-$M$2-$N$2+1,7),""),"")))))</f>
        <v>core</v>
      </c>
      <c r="H59" s="3" t="str">
        <f>IF(ROW()-1&lt;=0,"",IF(ROW()-1&lt;=$L$2,IFERROR(INDEX(MCQ!$A:$K,ROW()-1+1,8),""),IF(ROW()-1&lt;=$L$2+$M$2,IFERROR(INDEX(CLOZE_AB!$A:$K,ROW()-1-$L$2+1,8),""),IF(ROW()-1&lt;=$L$2+$M$2+$N$2,IFERROR(INDEX(CLOZE_LIST!$A:$K,ROW()-1-$L$2-$M$2+1,8),""),IF(ROW()-1&lt;=$L$2+$M$2+$N$2+$O$2,IFERROR(INDEX(PROFORMA!$A:$K,ROW()-1-$L$2-$M$2-$N$2+1,8),""),"")))))</f>
        <v>Y</v>
      </c>
      <c r="I59" s="3" t="str">
        <f>IF(ROW()-1&lt;=0,"",IF(ROW()-1&lt;=$L$2,IFERROR(INDEX(MCQ!$A:$K,ROW()-1+1,9),""),IF(ROW()-1&lt;=$L$2+$M$2,IFERROR(INDEX(CLOZE_AB!$A:$K,ROW()-1-$L$2+1,9),""),IF(ROW()-1&lt;=$L$2+$M$2+$N$2,IFERROR(INDEX(CLOZE_LIST!$A:$K,ROW()-1-$L$2-$M$2+1,9),""),IF(ROW()-1&lt;=$L$2+$M$2+$N$2+$O$2,IFERROR(INDEX(PROFORMA!$A:$K,ROW()-1-$L$2-$M$2-$N$2+1,9),""),"")))))</f>
        <v>disallowable;mixed_test</v>
      </c>
      <c r="J59" s="3" t="str">
        <f>IF(ROW()-1&lt;=0,"",IF(ROW()-1&lt;=$L$2,IFERROR(INDEX(MCQ!$A:$K,ROW()-1+1,10),""),IF(ROW()-1&lt;=$L$2+$M$2,IFERROR(INDEX(CLOZE_AB!$A:$K,ROW()-1-$L$2+1,10),""),IF(ROW()-1&lt;=$L$2+$M$2+$N$2,IFERROR(INDEX(CLOZE_LIST!$A:$K,ROW()-1-$L$2-$M$2+1,10),""),IF(ROW()-1&lt;=$L$2+$M$2+$N$2+$O$2,IFERROR(INDEX(PROFORMA!$A:$K,ROW()-1-$L$2-$M$2-$N$2+1,10),""),"")))))</f>
        <v>assistant_generated</v>
      </c>
      <c r="K59" s="3">
        <f>IF(ROW()-1&lt;=0,"",IF(ROW()-1&lt;=$L$2,IFERROR(INDEX(MCQ!$A:$K,ROW()-1+1,11),""),IF(ROW()-1&lt;=$L$2+$M$2,IFERROR(INDEX(CLOZE_AB!$A:$K,ROW()-1-$L$2+1,11),""),IF(ROW()-1&lt;=$L$2+$M$2+$N$2,IFERROR(INDEX(CLOZE_LIST!$A:$K,ROW()-1-$L$2-$M$2+1,11),""),IF(ROW()-1&lt;=$L$2+$M$2+$N$2+$O$2,IFERROR(INDEX(PROFORMA!$A:$K,ROW()-1-$L$2-$M$2-$N$2+1,11),""),"")))))</f>
        <v>1</v>
      </c>
      <c r="L59" s="3">
        <f>COUNTA(MCQ!$A:$A)-1</f>
        <v>122</v>
      </c>
      <c r="M59" s="3">
        <f>COUNTA(CLOZE_AB!$A:$A)-1</f>
        <v>168</v>
      </c>
      <c r="N59" s="3">
        <f>COUNTA(CLOZE_LIST!$A:$A)-1</f>
        <v>199</v>
      </c>
      <c r="O59" s="3">
        <f>COUNTA(PROFORMA!$A:$A)-1</f>
        <v>199</v>
      </c>
    </row>
    <row r="60" spans="1:15" ht="28.8" x14ac:dyDescent="0.3">
      <c r="A60" s="3" t="str">
        <f>IF(ROW()-1&lt;=0,"",IF(ROW()-1&lt;=$L$2,IFERROR(INDEX(MCQ!$A:$K,ROW()-1+1,1),""),IF(ROW()-1&lt;=$L$2+$M$2,IFERROR(INDEX(CLOZE_AB!$A:$K,ROW()-1-$L$2+1,1),""),IF(ROW()-1&lt;=$L$2+$M$2+$N$2,IFERROR(INDEX(CLOZE_LIST!$A:$K,ROW()-1-$L$2-$M$2+1,1),""),IF(ROW()-1&lt;=$L$2+$M$2+$N$2+$O$2,IFERROR(INDEX(PROFORMA!$A:$K,ROW()-1-$L$2-$M$2-$N$2+1,1),""),"")))))</f>
        <v>MCQ_ITNIC_DEF_BADGES_001</v>
      </c>
      <c r="B60" s="3" t="str">
        <f>IF(ROW()-1&lt;=0,"",IF(ROW()-1&lt;=$L$2,IFERROR(INDEX(MCQ!$A:$K,ROW()-1+1,2),""),IF(ROW()-1&lt;=$L$2+$M$2,IFERROR(INDEX(CLOZE_AB!$A:$K,ROW()-1-$L$2+1,2),""),IF(ROW()-1&lt;=$L$2+$M$2+$N$2,IFERROR(INDEX(CLOZE_LIST!$A:$K,ROW()-1-$L$2-$M$2+1,2),""),IF(ROW()-1&lt;=$L$2+$M$2+$N$2+$O$2,IFERROR(INDEX(PROFORMA!$A:$K,ROW()-1-$L$2-$M$2-$N$2+1,2),""),"")))))</f>
        <v>Income tax &amp; NIC</v>
      </c>
      <c r="C60" s="3" t="str">
        <f>IF(ROW()-1&lt;=0,"",IF(ROW()-1&lt;=$L$2,IFERROR(INDEX(MCQ!$A:$K,ROW()-1+1,3),""),IF(ROW()-1&lt;=$L$2+$M$2,IFERROR(INDEX(CLOZE_AB!$A:$K,ROW()-1-$L$2+1,3),""),IF(ROW()-1&lt;=$L$2+$M$2+$N$2,IFERROR(INDEX(CLOZE_LIST!$A:$K,ROW()-1-$L$2-$M$2+1,3),""),IF(ROW()-1&lt;=$L$2+$M$2+$N$2+$O$2,IFERROR(INDEX(PROFORMA!$A:$K,ROW()-1-$L$2-$M$2-$N$2+1,3),""),"")))))</f>
        <v>definitions</v>
      </c>
      <c r="D60" s="3" t="str">
        <f>IF(ROW()-1&lt;=0,"",IF(ROW()-1&lt;=$L$2,IFERROR(INDEX(MCQ!$A:$K,ROW()-1+1,4),""),IF(ROW()-1&lt;=$L$2+$M$2,IFERROR(INDEX(CLOZE_AB!$A:$K,ROW()-1-$L$2+1,4),""),IF(ROW()-1&lt;=$L$2+$M$2+$N$2,IFERROR(INDEX(CLOZE_LIST!$A:$K,ROW()-1-$L$2-$M$2+1,4),""),IF(ROW()-1&lt;=$L$2+$M$2+$N$2+$O$2,IFERROR(INDEX(PROFORMA!$A:$K,ROW()-1-$L$2-$M$2-$N$2+1,4),""),"")))))</f>
        <v>Badges of trade</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3</v>
      </c>
      <c r="G60" s="3" t="str">
        <f>IF(ROW()-1&lt;=0,"",IF(ROW()-1&lt;=$L$2,IFERROR(INDEX(MCQ!$A:$K,ROW()-1+1,7),""),IF(ROW()-1&lt;=$L$2+$M$2,IFERROR(INDEX(CLOZE_AB!$A:$K,ROW()-1-$L$2+1,7),""),IF(ROW()-1&lt;=$L$2+$M$2+$N$2,IFERROR(INDEX(CLOZE_LIST!$A:$K,ROW()-1-$L$2-$M$2+1,7),""),IF(ROW()-1&lt;=$L$2+$M$2+$N$2+$O$2,IFERROR(INDEX(PROFORMA!$A:$K,ROW()-1-$L$2-$M$2-$N$2+1,7),""),"")))))</f>
        <v>core</v>
      </c>
      <c r="H60" s="3" t="str">
        <f>IF(ROW()-1&lt;=0,"",IF(ROW()-1&lt;=$L$2,IFERROR(INDEX(MCQ!$A:$K,ROW()-1+1,8),""),IF(ROW()-1&lt;=$L$2+$M$2,IFERROR(INDEX(CLOZE_AB!$A:$K,ROW()-1-$L$2+1,8),""),IF(ROW()-1&lt;=$L$2+$M$2+$N$2,IFERROR(INDEX(CLOZE_LIST!$A:$K,ROW()-1-$L$2-$M$2+1,8),""),IF(ROW()-1&lt;=$L$2+$M$2+$N$2+$O$2,IFERROR(INDEX(PROFORMA!$A:$K,ROW()-1-$L$2-$M$2-$N$2+1,8),""),"")))))</f>
        <v>Y</v>
      </c>
      <c r="I60" s="3" t="str">
        <f>IF(ROW()-1&lt;=0,"",IF(ROW()-1&lt;=$L$2,IFERROR(INDEX(MCQ!$A:$K,ROW()-1+1,9),""),IF(ROW()-1&lt;=$L$2+$M$2,IFERROR(INDEX(CLOZE_AB!$A:$K,ROW()-1-$L$2+1,9),""),IF(ROW()-1&lt;=$L$2+$M$2+$N$2,IFERROR(INDEX(CLOZE_LIST!$A:$K,ROW()-1-$L$2-$M$2+1,9),""),IF(ROW()-1&lt;=$L$2+$M$2+$N$2+$O$2,IFERROR(INDEX(PROFORMA!$A:$K,ROW()-1-$L$2-$M$2-$N$2+1,9),""),"")))))</f>
        <v>badges;profit_motive</v>
      </c>
      <c r="J60" s="3" t="str">
        <f>IF(ROW()-1&lt;=0,"",IF(ROW()-1&lt;=$L$2,IFERROR(INDEX(MCQ!$A:$K,ROW()-1+1,10),""),IF(ROW()-1&lt;=$L$2+$M$2,IFERROR(INDEX(CLOZE_AB!$A:$K,ROW()-1-$L$2+1,10),""),IF(ROW()-1&lt;=$L$2+$M$2+$N$2,IFERROR(INDEX(CLOZE_LIST!$A:$K,ROW()-1-$L$2-$M$2+1,10),""),IF(ROW()-1&lt;=$L$2+$M$2+$N$2+$O$2,IFERROR(INDEX(PROFORMA!$A:$K,ROW()-1-$L$2-$M$2-$N$2+1,10),""),"")))))</f>
        <v>assistant_generated</v>
      </c>
      <c r="K60" s="3">
        <f>IF(ROW()-1&lt;=0,"",IF(ROW()-1&lt;=$L$2,IFERROR(INDEX(MCQ!$A:$K,ROW()-1+1,11),""),IF(ROW()-1&lt;=$L$2+$M$2,IFERROR(INDEX(CLOZE_AB!$A:$K,ROW()-1-$L$2+1,11),""),IF(ROW()-1&lt;=$L$2+$M$2+$N$2,IFERROR(INDEX(CLOZE_LIST!$A:$K,ROW()-1-$L$2-$M$2+1,11),""),IF(ROW()-1&lt;=$L$2+$M$2+$N$2+$O$2,IFERROR(INDEX(PROFORMA!$A:$K,ROW()-1-$L$2-$M$2-$N$2+1,11),""),"")))))</f>
        <v>1</v>
      </c>
      <c r="L60" s="3">
        <f>COUNTA(MCQ!$A:$A)-1</f>
        <v>122</v>
      </c>
      <c r="M60" s="3">
        <f>COUNTA(CLOZE_AB!$A:$A)-1</f>
        <v>168</v>
      </c>
      <c r="N60" s="3">
        <f>COUNTA(CLOZE_LIST!$A:$A)-1</f>
        <v>199</v>
      </c>
      <c r="O60" s="3">
        <f>COUNTA(PROFORMA!$A:$A)-1</f>
        <v>199</v>
      </c>
    </row>
    <row r="61" spans="1:15" ht="28.8" x14ac:dyDescent="0.3">
      <c r="A61" s="3" t="str">
        <f>IF(ROW()-1&lt;=0,"",IF(ROW()-1&lt;=$L$2,IFERROR(INDEX(MCQ!$A:$K,ROW()-1+1,1),""),IF(ROW()-1&lt;=$L$2+$M$2,IFERROR(INDEX(CLOZE_AB!$A:$K,ROW()-1-$L$2+1,1),""),IF(ROW()-1&lt;=$L$2+$M$2+$N$2,IFERROR(INDEX(CLOZE_LIST!$A:$K,ROW()-1-$L$2-$M$2+1,1),""),IF(ROW()-1&lt;=$L$2+$M$2+$N$2+$O$2,IFERROR(INDEX(PROFORMA!$A:$K,ROW()-1-$L$2-$M$2-$N$2+1,1),""),"")))))</f>
        <v>MCQ_ITNIC_DEF_BADGES_002</v>
      </c>
      <c r="B61" s="3" t="str">
        <f>IF(ROW()-1&lt;=0,"",IF(ROW()-1&lt;=$L$2,IFERROR(INDEX(MCQ!$A:$K,ROW()-1+1,2),""),IF(ROW()-1&lt;=$L$2+$M$2,IFERROR(INDEX(CLOZE_AB!$A:$K,ROW()-1-$L$2+1,2),""),IF(ROW()-1&lt;=$L$2+$M$2+$N$2,IFERROR(INDEX(CLOZE_LIST!$A:$K,ROW()-1-$L$2-$M$2+1,2),""),IF(ROW()-1&lt;=$L$2+$M$2+$N$2+$O$2,IFERROR(INDEX(PROFORMA!$A:$K,ROW()-1-$L$2-$M$2-$N$2+1,2),""),"")))))</f>
        <v>Income tax &amp; NIC</v>
      </c>
      <c r="C61" s="3" t="str">
        <f>IF(ROW()-1&lt;=0,"",IF(ROW()-1&lt;=$L$2,IFERROR(INDEX(MCQ!$A:$K,ROW()-1+1,3),""),IF(ROW()-1&lt;=$L$2+$M$2,IFERROR(INDEX(CLOZE_AB!$A:$K,ROW()-1-$L$2+1,3),""),IF(ROW()-1&lt;=$L$2+$M$2+$N$2,IFERROR(INDEX(CLOZE_LIST!$A:$K,ROW()-1-$L$2-$M$2+1,3),""),IF(ROW()-1&lt;=$L$2+$M$2+$N$2+$O$2,IFERROR(INDEX(PROFORMA!$A:$K,ROW()-1-$L$2-$M$2-$N$2+1,3),""),"")))))</f>
        <v>definitions</v>
      </c>
      <c r="D61" s="3" t="str">
        <f>IF(ROW()-1&lt;=0,"",IF(ROW()-1&lt;=$L$2,IFERROR(INDEX(MCQ!$A:$K,ROW()-1+1,4),""),IF(ROW()-1&lt;=$L$2+$M$2,IFERROR(INDEX(CLOZE_AB!$A:$K,ROW()-1-$L$2+1,4),""),IF(ROW()-1&lt;=$L$2+$M$2+$N$2,IFERROR(INDEX(CLOZE_LIST!$A:$K,ROW()-1-$L$2-$M$2+1,4),""),IF(ROW()-1&lt;=$L$2+$M$2+$N$2+$O$2,IFERROR(INDEX(PROFORMA!$A:$K,ROW()-1-$L$2-$M$2-$N$2+1,4),""),"")))))</f>
        <v>Badges of trade</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3</v>
      </c>
      <c r="G61" s="3" t="str">
        <f>IF(ROW()-1&lt;=0,"",IF(ROW()-1&lt;=$L$2,IFERROR(INDEX(MCQ!$A:$K,ROW()-1+1,7),""),IF(ROW()-1&lt;=$L$2+$M$2,IFERROR(INDEX(CLOZE_AB!$A:$K,ROW()-1-$L$2+1,7),""),IF(ROW()-1&lt;=$L$2+$M$2+$N$2,IFERROR(INDEX(CLOZE_LIST!$A:$K,ROW()-1-$L$2-$M$2+1,7),""),IF(ROW()-1&lt;=$L$2+$M$2+$N$2+$O$2,IFERROR(INDEX(PROFORMA!$A:$K,ROW()-1-$L$2-$M$2-$N$2+1,7),""),"")))))</f>
        <v>core</v>
      </c>
      <c r="H61" s="3" t="str">
        <f>IF(ROW()-1&lt;=0,"",IF(ROW()-1&lt;=$L$2,IFERROR(INDEX(MCQ!$A:$K,ROW()-1+1,8),""),IF(ROW()-1&lt;=$L$2+$M$2,IFERROR(INDEX(CLOZE_AB!$A:$K,ROW()-1-$L$2+1,8),""),IF(ROW()-1&lt;=$L$2+$M$2+$N$2,IFERROR(INDEX(CLOZE_LIST!$A:$K,ROW()-1-$L$2-$M$2+1,8),""),IF(ROW()-1&lt;=$L$2+$M$2+$N$2+$O$2,IFERROR(INDEX(PROFORMA!$A:$K,ROW()-1-$L$2-$M$2-$N$2+1,8),""),"")))))</f>
        <v>Y</v>
      </c>
      <c r="I61" s="3" t="str">
        <f>IF(ROW()-1&lt;=0,"",IF(ROW()-1&lt;=$L$2,IFERROR(INDEX(MCQ!$A:$K,ROW()-1+1,9),""),IF(ROW()-1&lt;=$L$2+$M$2,IFERROR(INDEX(CLOZE_AB!$A:$K,ROW()-1-$L$2+1,9),""),IF(ROW()-1&lt;=$L$2+$M$2+$N$2,IFERROR(INDEX(CLOZE_LIST!$A:$K,ROW()-1-$L$2-$M$2+1,9),""),IF(ROW()-1&lt;=$L$2+$M$2+$N$2+$O$2,IFERROR(INDEX(PROFORMA!$A:$K,ROW()-1-$L$2-$M$2-$N$2+1,9),""),"")))))</f>
        <v>badges;transactions</v>
      </c>
      <c r="J61" s="3" t="str">
        <f>IF(ROW()-1&lt;=0,"",IF(ROW()-1&lt;=$L$2,IFERROR(INDEX(MCQ!$A:$K,ROW()-1+1,10),""),IF(ROW()-1&lt;=$L$2+$M$2,IFERROR(INDEX(CLOZE_AB!$A:$K,ROW()-1-$L$2+1,10),""),IF(ROW()-1&lt;=$L$2+$M$2+$N$2,IFERROR(INDEX(CLOZE_LIST!$A:$K,ROW()-1-$L$2-$M$2+1,10),""),IF(ROW()-1&lt;=$L$2+$M$2+$N$2+$O$2,IFERROR(INDEX(PROFORMA!$A:$K,ROW()-1-$L$2-$M$2-$N$2+1,10),""),"")))))</f>
        <v>assistant_generated</v>
      </c>
      <c r="K61" s="3">
        <f>IF(ROW()-1&lt;=0,"",IF(ROW()-1&lt;=$L$2,IFERROR(INDEX(MCQ!$A:$K,ROW()-1+1,11),""),IF(ROW()-1&lt;=$L$2+$M$2,IFERROR(INDEX(CLOZE_AB!$A:$K,ROW()-1-$L$2+1,11),""),IF(ROW()-1&lt;=$L$2+$M$2+$N$2,IFERROR(INDEX(CLOZE_LIST!$A:$K,ROW()-1-$L$2-$M$2+1,11),""),IF(ROW()-1&lt;=$L$2+$M$2+$N$2+$O$2,IFERROR(INDEX(PROFORMA!$A:$K,ROW()-1-$L$2-$M$2-$N$2+1,11),""),"")))))</f>
        <v>1</v>
      </c>
      <c r="L61" s="3">
        <f>COUNTA(MCQ!$A:$A)-1</f>
        <v>122</v>
      </c>
      <c r="M61" s="3">
        <f>COUNTA(CLOZE_AB!$A:$A)-1</f>
        <v>168</v>
      </c>
      <c r="N61" s="3">
        <f>COUNTA(CLOZE_LIST!$A:$A)-1</f>
        <v>199</v>
      </c>
      <c r="O61" s="3">
        <f>COUNTA(PROFORMA!$A:$A)-1</f>
        <v>199</v>
      </c>
    </row>
    <row r="62" spans="1:15" ht="28.8" x14ac:dyDescent="0.3">
      <c r="A62" s="3" t="str">
        <f>IF(ROW()-1&lt;=0,"",IF(ROW()-1&lt;=$L$2,IFERROR(INDEX(MCQ!$A:$K,ROW()-1+1,1),""),IF(ROW()-1&lt;=$L$2+$M$2,IFERROR(INDEX(CLOZE_AB!$A:$K,ROW()-1-$L$2+1,1),""),IF(ROW()-1&lt;=$L$2+$M$2+$N$2,IFERROR(INDEX(CLOZE_LIST!$A:$K,ROW()-1-$L$2-$M$2+1,1),""),IF(ROW()-1&lt;=$L$2+$M$2+$N$2+$O$2,IFERROR(INDEX(PROFORMA!$A:$K,ROW()-1-$L$2-$M$2-$N$2+1,1),""),"")))))</f>
        <v>MCQ_ITNIC_DEF_BADGES_003</v>
      </c>
      <c r="B62" s="3" t="str">
        <f>IF(ROW()-1&lt;=0,"",IF(ROW()-1&lt;=$L$2,IFERROR(INDEX(MCQ!$A:$K,ROW()-1+1,2),""),IF(ROW()-1&lt;=$L$2+$M$2,IFERROR(INDEX(CLOZE_AB!$A:$K,ROW()-1-$L$2+1,2),""),IF(ROW()-1&lt;=$L$2+$M$2+$N$2,IFERROR(INDEX(CLOZE_LIST!$A:$K,ROW()-1-$L$2-$M$2+1,2),""),IF(ROW()-1&lt;=$L$2+$M$2+$N$2+$O$2,IFERROR(INDEX(PROFORMA!$A:$K,ROW()-1-$L$2-$M$2-$N$2+1,2),""),"")))))</f>
        <v>Income tax &amp; NIC</v>
      </c>
      <c r="C62" s="3" t="str">
        <f>IF(ROW()-1&lt;=0,"",IF(ROW()-1&lt;=$L$2,IFERROR(INDEX(MCQ!$A:$K,ROW()-1+1,3),""),IF(ROW()-1&lt;=$L$2+$M$2,IFERROR(INDEX(CLOZE_AB!$A:$K,ROW()-1-$L$2+1,3),""),IF(ROW()-1&lt;=$L$2+$M$2+$N$2,IFERROR(INDEX(CLOZE_LIST!$A:$K,ROW()-1-$L$2-$M$2+1,3),""),IF(ROW()-1&lt;=$L$2+$M$2+$N$2+$O$2,IFERROR(INDEX(PROFORMA!$A:$K,ROW()-1-$L$2-$M$2-$N$2+1,3),""),"")))))</f>
        <v>definitions</v>
      </c>
      <c r="D62" s="3" t="str">
        <f>IF(ROW()-1&lt;=0,"",IF(ROW()-1&lt;=$L$2,IFERROR(INDEX(MCQ!$A:$K,ROW()-1+1,4),""),IF(ROW()-1&lt;=$L$2+$M$2,IFERROR(INDEX(CLOZE_AB!$A:$K,ROW()-1-$L$2+1,4),""),IF(ROW()-1&lt;=$L$2+$M$2+$N$2,IFERROR(INDEX(CLOZE_LIST!$A:$K,ROW()-1-$L$2-$M$2+1,4),""),IF(ROW()-1&lt;=$L$2+$M$2+$N$2+$O$2,IFERROR(INDEX(PROFORMA!$A:$K,ROW()-1-$L$2-$M$2-$N$2+1,4),""),"")))))</f>
        <v>Badges of trade</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3</v>
      </c>
      <c r="G62" s="3" t="str">
        <f>IF(ROW()-1&lt;=0,"",IF(ROW()-1&lt;=$L$2,IFERROR(INDEX(MCQ!$A:$K,ROW()-1+1,7),""),IF(ROW()-1&lt;=$L$2+$M$2,IFERROR(INDEX(CLOZE_AB!$A:$K,ROW()-1-$L$2+1,7),""),IF(ROW()-1&lt;=$L$2+$M$2+$N$2,IFERROR(INDEX(CLOZE_LIST!$A:$K,ROW()-1-$L$2-$M$2+1,7),""),IF(ROW()-1&lt;=$L$2+$M$2+$N$2+$O$2,IFERROR(INDEX(PROFORMA!$A:$K,ROW()-1-$L$2-$M$2-$N$2+1,7),""),"")))))</f>
        <v>core</v>
      </c>
      <c r="H62" s="3" t="str">
        <f>IF(ROW()-1&lt;=0,"",IF(ROW()-1&lt;=$L$2,IFERROR(INDEX(MCQ!$A:$K,ROW()-1+1,8),""),IF(ROW()-1&lt;=$L$2+$M$2,IFERROR(INDEX(CLOZE_AB!$A:$K,ROW()-1-$L$2+1,8),""),IF(ROW()-1&lt;=$L$2+$M$2+$N$2,IFERROR(INDEX(CLOZE_LIST!$A:$K,ROW()-1-$L$2-$M$2+1,8),""),IF(ROW()-1&lt;=$L$2+$M$2+$N$2+$O$2,IFERROR(INDEX(PROFORMA!$A:$K,ROW()-1-$L$2-$M$2-$N$2+1,8),""),"")))))</f>
        <v>Y</v>
      </c>
      <c r="I62" s="3" t="str">
        <f>IF(ROW()-1&lt;=0,"",IF(ROW()-1&lt;=$L$2,IFERROR(INDEX(MCQ!$A:$K,ROW()-1+1,9),""),IF(ROW()-1&lt;=$L$2+$M$2,IFERROR(INDEX(CLOZE_AB!$A:$K,ROW()-1-$L$2+1,9),""),IF(ROW()-1&lt;=$L$2+$M$2+$N$2,IFERROR(INDEX(CLOZE_LIST!$A:$K,ROW()-1-$L$2-$M$2+1,9),""),IF(ROW()-1&lt;=$L$2+$M$2+$N$2+$O$2,IFERROR(INDEX(PROFORMA!$A:$K,ROW()-1-$L$2-$M$2-$N$2+1,9),""),"")))))</f>
        <v>badges;similar_transactions</v>
      </c>
      <c r="J62" s="3" t="str">
        <f>IF(ROW()-1&lt;=0,"",IF(ROW()-1&lt;=$L$2,IFERROR(INDEX(MCQ!$A:$K,ROW()-1+1,10),""),IF(ROW()-1&lt;=$L$2+$M$2,IFERROR(INDEX(CLOZE_AB!$A:$K,ROW()-1-$L$2+1,10),""),IF(ROW()-1&lt;=$L$2+$M$2+$N$2,IFERROR(INDEX(CLOZE_LIST!$A:$K,ROW()-1-$L$2-$M$2+1,10),""),IF(ROW()-1&lt;=$L$2+$M$2+$N$2+$O$2,IFERROR(INDEX(PROFORMA!$A:$K,ROW()-1-$L$2-$M$2-$N$2+1,10),""),"")))))</f>
        <v>assistant_generated</v>
      </c>
      <c r="K62" s="3">
        <f>IF(ROW()-1&lt;=0,"",IF(ROW()-1&lt;=$L$2,IFERROR(INDEX(MCQ!$A:$K,ROW()-1+1,11),""),IF(ROW()-1&lt;=$L$2+$M$2,IFERROR(INDEX(CLOZE_AB!$A:$K,ROW()-1-$L$2+1,11),""),IF(ROW()-1&lt;=$L$2+$M$2+$N$2,IFERROR(INDEX(CLOZE_LIST!$A:$K,ROW()-1-$L$2-$M$2+1,11),""),IF(ROW()-1&lt;=$L$2+$M$2+$N$2+$O$2,IFERROR(INDEX(PROFORMA!$A:$K,ROW()-1-$L$2-$M$2-$N$2+1,11),""),"")))))</f>
        <v>1</v>
      </c>
      <c r="L62" s="3">
        <f>COUNTA(MCQ!$A:$A)-1</f>
        <v>122</v>
      </c>
      <c r="M62" s="3">
        <f>COUNTA(CLOZE_AB!$A:$A)-1</f>
        <v>168</v>
      </c>
      <c r="N62" s="3">
        <f>COUNTA(CLOZE_LIST!$A:$A)-1</f>
        <v>199</v>
      </c>
      <c r="O62" s="3">
        <f>COUNTA(PROFORMA!$A:$A)-1</f>
        <v>199</v>
      </c>
    </row>
    <row r="63" spans="1:15" ht="28.8" x14ac:dyDescent="0.3">
      <c r="A63" s="3" t="str">
        <f>IF(ROW()-1&lt;=0,"",IF(ROW()-1&lt;=$L$2,IFERROR(INDEX(MCQ!$A:$K,ROW()-1+1,1),""),IF(ROW()-1&lt;=$L$2+$M$2,IFERROR(INDEX(CLOZE_AB!$A:$K,ROW()-1-$L$2+1,1),""),IF(ROW()-1&lt;=$L$2+$M$2+$N$2,IFERROR(INDEX(CLOZE_LIST!$A:$K,ROW()-1-$L$2-$M$2+1,1),""),IF(ROW()-1&lt;=$L$2+$M$2+$N$2+$O$2,IFERROR(INDEX(PROFORMA!$A:$K,ROW()-1-$L$2-$M$2-$N$2+1,1),""),"")))))</f>
        <v>MCQ_ITNIC_DEF_BADGES_004</v>
      </c>
      <c r="B63" s="3" t="str">
        <f>IF(ROW()-1&lt;=0,"",IF(ROW()-1&lt;=$L$2,IFERROR(INDEX(MCQ!$A:$K,ROW()-1+1,2),""),IF(ROW()-1&lt;=$L$2+$M$2,IFERROR(INDEX(CLOZE_AB!$A:$K,ROW()-1-$L$2+1,2),""),IF(ROW()-1&lt;=$L$2+$M$2+$N$2,IFERROR(INDEX(CLOZE_LIST!$A:$K,ROW()-1-$L$2-$M$2+1,2),""),IF(ROW()-1&lt;=$L$2+$M$2+$N$2+$O$2,IFERROR(INDEX(PROFORMA!$A:$K,ROW()-1-$L$2-$M$2-$N$2+1,2),""),"")))))</f>
        <v>Income tax &amp; NIC</v>
      </c>
      <c r="C63" s="3" t="str">
        <f>IF(ROW()-1&lt;=0,"",IF(ROW()-1&lt;=$L$2,IFERROR(INDEX(MCQ!$A:$K,ROW()-1+1,3),""),IF(ROW()-1&lt;=$L$2+$M$2,IFERROR(INDEX(CLOZE_AB!$A:$K,ROW()-1-$L$2+1,3),""),IF(ROW()-1&lt;=$L$2+$M$2+$N$2,IFERROR(INDEX(CLOZE_LIST!$A:$K,ROW()-1-$L$2-$M$2+1,3),""),IF(ROW()-1&lt;=$L$2+$M$2+$N$2+$O$2,IFERROR(INDEX(PROFORMA!$A:$K,ROW()-1-$L$2-$M$2-$N$2+1,3),""),"")))))</f>
        <v>definitions</v>
      </c>
      <c r="D63" s="3" t="str">
        <f>IF(ROW()-1&lt;=0,"",IF(ROW()-1&lt;=$L$2,IFERROR(INDEX(MCQ!$A:$K,ROW()-1+1,4),""),IF(ROW()-1&lt;=$L$2+$M$2,IFERROR(INDEX(CLOZE_AB!$A:$K,ROW()-1-$L$2+1,4),""),IF(ROW()-1&lt;=$L$2+$M$2+$N$2,IFERROR(INDEX(CLOZE_LIST!$A:$K,ROW()-1-$L$2-$M$2+1,4),""),IF(ROW()-1&lt;=$L$2+$M$2+$N$2+$O$2,IFERROR(INDEX(PROFORMA!$A:$K,ROW()-1-$L$2-$M$2-$N$2+1,4),""),"")))))</f>
        <v>Badges of trade</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3</v>
      </c>
      <c r="G63" s="3" t="str">
        <f>IF(ROW()-1&lt;=0,"",IF(ROW()-1&lt;=$L$2,IFERROR(INDEX(MCQ!$A:$K,ROW()-1+1,7),""),IF(ROW()-1&lt;=$L$2+$M$2,IFERROR(INDEX(CLOZE_AB!$A:$K,ROW()-1-$L$2+1,7),""),IF(ROW()-1&lt;=$L$2+$M$2+$N$2,IFERROR(INDEX(CLOZE_LIST!$A:$K,ROW()-1-$L$2-$M$2+1,7),""),IF(ROW()-1&lt;=$L$2+$M$2+$N$2+$O$2,IFERROR(INDEX(PROFORMA!$A:$K,ROW()-1-$L$2-$M$2-$N$2+1,7),""),"")))))</f>
        <v>core</v>
      </c>
      <c r="H63" s="3" t="str">
        <f>IF(ROW()-1&lt;=0,"",IF(ROW()-1&lt;=$L$2,IFERROR(INDEX(MCQ!$A:$K,ROW()-1+1,8),""),IF(ROW()-1&lt;=$L$2+$M$2,IFERROR(INDEX(CLOZE_AB!$A:$K,ROW()-1-$L$2+1,8),""),IF(ROW()-1&lt;=$L$2+$M$2+$N$2,IFERROR(INDEX(CLOZE_LIST!$A:$K,ROW()-1-$L$2-$M$2+1,8),""),IF(ROW()-1&lt;=$L$2+$M$2+$N$2+$O$2,IFERROR(INDEX(PROFORMA!$A:$K,ROW()-1-$L$2-$M$2-$N$2+1,8),""),"")))))</f>
        <v>Y</v>
      </c>
      <c r="I63" s="3" t="str">
        <f>IF(ROW()-1&lt;=0,"",IF(ROW()-1&lt;=$L$2,IFERROR(INDEX(MCQ!$A:$K,ROW()-1+1,9),""),IF(ROW()-1&lt;=$L$2+$M$2,IFERROR(INDEX(CLOZE_AB!$A:$K,ROW()-1-$L$2+1,9),""),IF(ROW()-1&lt;=$L$2+$M$2+$N$2,IFERROR(INDEX(CLOZE_LIST!$A:$K,ROW()-1-$L$2-$M$2+1,9),""),IF(ROW()-1&lt;=$L$2+$M$2+$N$2+$O$2,IFERROR(INDEX(PROFORMA!$A:$K,ROW()-1-$L$2-$M$2-$N$2+1,9),""),"")))))</f>
        <v>badges;interval</v>
      </c>
      <c r="J63" s="3" t="str">
        <f>IF(ROW()-1&lt;=0,"",IF(ROW()-1&lt;=$L$2,IFERROR(INDEX(MCQ!$A:$K,ROW()-1+1,10),""),IF(ROW()-1&lt;=$L$2+$M$2,IFERROR(INDEX(CLOZE_AB!$A:$K,ROW()-1-$L$2+1,10),""),IF(ROW()-1&lt;=$L$2+$M$2+$N$2,IFERROR(INDEX(CLOZE_LIST!$A:$K,ROW()-1-$L$2-$M$2+1,10),""),IF(ROW()-1&lt;=$L$2+$M$2+$N$2+$O$2,IFERROR(INDEX(PROFORMA!$A:$K,ROW()-1-$L$2-$M$2-$N$2+1,10),""),"")))))</f>
        <v>assistant_generated</v>
      </c>
      <c r="K63" s="3">
        <f>IF(ROW()-1&lt;=0,"",IF(ROW()-1&lt;=$L$2,IFERROR(INDEX(MCQ!$A:$K,ROW()-1+1,11),""),IF(ROW()-1&lt;=$L$2+$M$2,IFERROR(INDEX(CLOZE_AB!$A:$K,ROW()-1-$L$2+1,11),""),IF(ROW()-1&lt;=$L$2+$M$2+$N$2,IFERROR(INDEX(CLOZE_LIST!$A:$K,ROW()-1-$L$2-$M$2+1,11),""),IF(ROW()-1&lt;=$L$2+$M$2+$N$2+$O$2,IFERROR(INDEX(PROFORMA!$A:$K,ROW()-1-$L$2-$M$2-$N$2+1,11),""),"")))))</f>
        <v>1</v>
      </c>
      <c r="L63" s="3">
        <f>COUNTA(MCQ!$A:$A)-1</f>
        <v>122</v>
      </c>
      <c r="M63" s="3">
        <f>COUNTA(CLOZE_AB!$A:$A)-1</f>
        <v>168</v>
      </c>
      <c r="N63" s="3">
        <f>COUNTA(CLOZE_LIST!$A:$A)-1</f>
        <v>199</v>
      </c>
      <c r="O63" s="3">
        <f>COUNTA(PROFORMA!$A:$A)-1</f>
        <v>199</v>
      </c>
    </row>
    <row r="64" spans="1:15" ht="28.8" x14ac:dyDescent="0.3">
      <c r="A64" s="3" t="str">
        <f>IF(ROW()-1&lt;=0,"",IF(ROW()-1&lt;=$L$2,IFERROR(INDEX(MCQ!$A:$K,ROW()-1+1,1),""),IF(ROW()-1&lt;=$L$2+$M$2,IFERROR(INDEX(CLOZE_AB!$A:$K,ROW()-1-$L$2+1,1),""),IF(ROW()-1&lt;=$L$2+$M$2+$N$2,IFERROR(INDEX(CLOZE_LIST!$A:$K,ROW()-1-$L$2-$M$2+1,1),""),IF(ROW()-1&lt;=$L$2+$M$2+$N$2+$O$2,IFERROR(INDEX(PROFORMA!$A:$K,ROW()-1-$L$2-$M$2-$N$2+1,1),""),"")))))</f>
        <v>MCQ_ITNIC_DEF_BADGES_005</v>
      </c>
      <c r="B64" s="3" t="str">
        <f>IF(ROW()-1&lt;=0,"",IF(ROW()-1&lt;=$L$2,IFERROR(INDEX(MCQ!$A:$K,ROW()-1+1,2),""),IF(ROW()-1&lt;=$L$2+$M$2,IFERROR(INDEX(CLOZE_AB!$A:$K,ROW()-1-$L$2+1,2),""),IF(ROW()-1&lt;=$L$2+$M$2+$N$2,IFERROR(INDEX(CLOZE_LIST!$A:$K,ROW()-1-$L$2-$M$2+1,2),""),IF(ROW()-1&lt;=$L$2+$M$2+$N$2+$O$2,IFERROR(INDEX(PROFORMA!$A:$K,ROW()-1-$L$2-$M$2-$N$2+1,2),""),"")))))</f>
        <v>Income tax &amp; NIC</v>
      </c>
      <c r="C64" s="3" t="str">
        <f>IF(ROW()-1&lt;=0,"",IF(ROW()-1&lt;=$L$2,IFERROR(INDEX(MCQ!$A:$K,ROW()-1+1,3),""),IF(ROW()-1&lt;=$L$2+$M$2,IFERROR(INDEX(CLOZE_AB!$A:$K,ROW()-1-$L$2+1,3),""),IF(ROW()-1&lt;=$L$2+$M$2+$N$2,IFERROR(INDEX(CLOZE_LIST!$A:$K,ROW()-1-$L$2-$M$2+1,3),""),IF(ROW()-1&lt;=$L$2+$M$2+$N$2+$O$2,IFERROR(INDEX(PROFORMA!$A:$K,ROW()-1-$L$2-$M$2-$N$2+1,3),""),"")))))</f>
        <v>definitions</v>
      </c>
      <c r="D64" s="3" t="str">
        <f>IF(ROW()-1&lt;=0,"",IF(ROW()-1&lt;=$L$2,IFERROR(INDEX(MCQ!$A:$K,ROW()-1+1,4),""),IF(ROW()-1&lt;=$L$2+$M$2,IFERROR(INDEX(CLOZE_AB!$A:$K,ROW()-1-$L$2+1,4),""),IF(ROW()-1&lt;=$L$2+$M$2+$N$2,IFERROR(INDEX(CLOZE_LIST!$A:$K,ROW()-1-$L$2-$M$2+1,4),""),IF(ROW()-1&lt;=$L$2+$M$2+$N$2+$O$2,IFERROR(INDEX(PROFORMA!$A:$K,ROW()-1-$L$2-$M$2-$N$2+1,4),""),"")))))</f>
        <v>Badges of trade</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3</v>
      </c>
      <c r="G64" s="3" t="str">
        <f>IF(ROW()-1&lt;=0,"",IF(ROW()-1&lt;=$L$2,IFERROR(INDEX(MCQ!$A:$K,ROW()-1+1,7),""),IF(ROW()-1&lt;=$L$2+$M$2,IFERROR(INDEX(CLOZE_AB!$A:$K,ROW()-1-$L$2+1,7),""),IF(ROW()-1&lt;=$L$2+$M$2+$N$2,IFERROR(INDEX(CLOZE_LIST!$A:$K,ROW()-1-$L$2-$M$2+1,7),""),IF(ROW()-1&lt;=$L$2+$M$2+$N$2+$O$2,IFERROR(INDEX(PROFORMA!$A:$K,ROW()-1-$L$2-$M$2-$N$2+1,7),""),"")))))</f>
        <v>core</v>
      </c>
      <c r="H64" s="3" t="str">
        <f>IF(ROW()-1&lt;=0,"",IF(ROW()-1&lt;=$L$2,IFERROR(INDEX(MCQ!$A:$K,ROW()-1+1,8),""),IF(ROW()-1&lt;=$L$2+$M$2,IFERROR(INDEX(CLOZE_AB!$A:$K,ROW()-1-$L$2+1,8),""),IF(ROW()-1&lt;=$L$2+$M$2+$N$2,IFERROR(INDEX(CLOZE_LIST!$A:$K,ROW()-1-$L$2-$M$2+1,8),""),IF(ROW()-1&lt;=$L$2+$M$2+$N$2+$O$2,IFERROR(INDEX(PROFORMA!$A:$K,ROW()-1-$L$2-$M$2-$N$2+1,8),""),"")))))</f>
        <v>Y</v>
      </c>
      <c r="I64" s="3" t="str">
        <f>IF(ROW()-1&lt;=0,"",IF(ROW()-1&lt;=$L$2,IFERROR(INDEX(MCQ!$A:$K,ROW()-1+1,9),""),IF(ROW()-1&lt;=$L$2+$M$2,IFERROR(INDEX(CLOZE_AB!$A:$K,ROW()-1-$L$2+1,9),""),IF(ROW()-1&lt;=$L$2+$M$2+$N$2,IFERROR(INDEX(CLOZE_LIST!$A:$K,ROW()-1-$L$2-$M$2+1,9),""),IF(ROW()-1&lt;=$L$2+$M$2+$N$2+$O$2,IFERROR(INDEX(PROFORMA!$A:$K,ROW()-1-$L$2-$M$2-$N$2+1,9),""),"")))))</f>
        <v>badges;acquisition</v>
      </c>
      <c r="J64" s="3" t="str">
        <f>IF(ROW()-1&lt;=0,"",IF(ROW()-1&lt;=$L$2,IFERROR(INDEX(MCQ!$A:$K,ROW()-1+1,10),""),IF(ROW()-1&lt;=$L$2+$M$2,IFERROR(INDEX(CLOZE_AB!$A:$K,ROW()-1-$L$2+1,10),""),IF(ROW()-1&lt;=$L$2+$M$2+$N$2,IFERROR(INDEX(CLOZE_LIST!$A:$K,ROW()-1-$L$2-$M$2+1,10),""),IF(ROW()-1&lt;=$L$2+$M$2+$N$2+$O$2,IFERROR(INDEX(PROFORMA!$A:$K,ROW()-1-$L$2-$M$2-$N$2+1,10),""),"")))))</f>
        <v>assistant_generated</v>
      </c>
      <c r="K64" s="3">
        <f>IF(ROW()-1&lt;=0,"",IF(ROW()-1&lt;=$L$2,IFERROR(INDEX(MCQ!$A:$K,ROW()-1+1,11),""),IF(ROW()-1&lt;=$L$2+$M$2,IFERROR(INDEX(CLOZE_AB!$A:$K,ROW()-1-$L$2+1,11),""),IF(ROW()-1&lt;=$L$2+$M$2+$N$2,IFERROR(INDEX(CLOZE_LIST!$A:$K,ROW()-1-$L$2-$M$2+1,11),""),IF(ROW()-1&lt;=$L$2+$M$2+$N$2+$O$2,IFERROR(INDEX(PROFORMA!$A:$K,ROW()-1-$L$2-$M$2-$N$2+1,11),""),"")))))</f>
        <v>1</v>
      </c>
      <c r="L64" s="3">
        <f>COUNTA(MCQ!$A:$A)-1</f>
        <v>122</v>
      </c>
      <c r="M64" s="3">
        <f>COUNTA(CLOZE_AB!$A:$A)-1</f>
        <v>168</v>
      </c>
      <c r="N64" s="3">
        <f>COUNTA(CLOZE_LIST!$A:$A)-1</f>
        <v>199</v>
      </c>
      <c r="O64" s="3">
        <f>COUNTA(PROFORMA!$A:$A)-1</f>
        <v>199</v>
      </c>
    </row>
    <row r="65" spans="1:15" ht="28.8" x14ac:dyDescent="0.3">
      <c r="A65" s="3" t="str">
        <f>IF(ROW()-1&lt;=0,"",IF(ROW()-1&lt;=$L$2,IFERROR(INDEX(MCQ!$A:$K,ROW()-1+1,1),""),IF(ROW()-1&lt;=$L$2+$M$2,IFERROR(INDEX(CLOZE_AB!$A:$K,ROW()-1-$L$2+1,1),""),IF(ROW()-1&lt;=$L$2+$M$2+$N$2,IFERROR(INDEX(CLOZE_LIST!$A:$K,ROW()-1-$L$2-$M$2+1,1),""),IF(ROW()-1&lt;=$L$2+$M$2+$N$2+$O$2,IFERROR(INDEX(PROFORMA!$A:$K,ROW()-1-$L$2-$M$2-$N$2+1,1),""),"")))))</f>
        <v>MCQ_ITNIC_DEF_BADGES_006</v>
      </c>
      <c r="B65" s="3" t="str">
        <f>IF(ROW()-1&lt;=0,"",IF(ROW()-1&lt;=$L$2,IFERROR(INDEX(MCQ!$A:$K,ROW()-1+1,2),""),IF(ROW()-1&lt;=$L$2+$M$2,IFERROR(INDEX(CLOZE_AB!$A:$K,ROW()-1-$L$2+1,2),""),IF(ROW()-1&lt;=$L$2+$M$2+$N$2,IFERROR(INDEX(CLOZE_LIST!$A:$K,ROW()-1-$L$2-$M$2+1,2),""),IF(ROW()-1&lt;=$L$2+$M$2+$N$2+$O$2,IFERROR(INDEX(PROFORMA!$A:$K,ROW()-1-$L$2-$M$2-$N$2+1,2),""),"")))))</f>
        <v>Income tax &amp; NIC</v>
      </c>
      <c r="C65" s="3" t="str">
        <f>IF(ROW()-1&lt;=0,"",IF(ROW()-1&lt;=$L$2,IFERROR(INDEX(MCQ!$A:$K,ROW()-1+1,3),""),IF(ROW()-1&lt;=$L$2+$M$2,IFERROR(INDEX(CLOZE_AB!$A:$K,ROW()-1-$L$2+1,3),""),IF(ROW()-1&lt;=$L$2+$M$2+$N$2,IFERROR(INDEX(CLOZE_LIST!$A:$K,ROW()-1-$L$2-$M$2+1,3),""),IF(ROW()-1&lt;=$L$2+$M$2+$N$2+$O$2,IFERROR(INDEX(PROFORMA!$A:$K,ROW()-1-$L$2-$M$2-$N$2+1,3),""),"")))))</f>
        <v>definitions</v>
      </c>
      <c r="D65" s="3" t="str">
        <f>IF(ROW()-1&lt;=0,"",IF(ROW()-1&lt;=$L$2,IFERROR(INDEX(MCQ!$A:$K,ROW()-1+1,4),""),IF(ROW()-1&lt;=$L$2+$M$2,IFERROR(INDEX(CLOZE_AB!$A:$K,ROW()-1-$L$2+1,4),""),IF(ROW()-1&lt;=$L$2+$M$2+$N$2,IFERROR(INDEX(CLOZE_LIST!$A:$K,ROW()-1-$L$2-$M$2+1,4),""),IF(ROW()-1&lt;=$L$2+$M$2+$N$2+$O$2,IFERROR(INDEX(PROFORMA!$A:$K,ROW()-1-$L$2-$M$2-$N$2+1,4),""),"")))))</f>
        <v>Badges of trade</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3</v>
      </c>
      <c r="G65" s="3" t="str">
        <f>IF(ROW()-1&lt;=0,"",IF(ROW()-1&lt;=$L$2,IFERROR(INDEX(MCQ!$A:$K,ROW()-1+1,7),""),IF(ROW()-1&lt;=$L$2+$M$2,IFERROR(INDEX(CLOZE_AB!$A:$K,ROW()-1-$L$2+1,7),""),IF(ROW()-1&lt;=$L$2+$M$2+$N$2,IFERROR(INDEX(CLOZE_LIST!$A:$K,ROW()-1-$L$2-$M$2+1,7),""),IF(ROW()-1&lt;=$L$2+$M$2+$N$2+$O$2,IFERROR(INDEX(PROFORMA!$A:$K,ROW()-1-$L$2-$M$2-$N$2+1,7),""),"")))))</f>
        <v>core</v>
      </c>
      <c r="H65" s="3" t="str">
        <f>IF(ROW()-1&lt;=0,"",IF(ROW()-1&lt;=$L$2,IFERROR(INDEX(MCQ!$A:$K,ROW()-1+1,8),""),IF(ROW()-1&lt;=$L$2+$M$2,IFERROR(INDEX(CLOZE_AB!$A:$K,ROW()-1-$L$2+1,8),""),IF(ROW()-1&lt;=$L$2+$M$2+$N$2,IFERROR(INDEX(CLOZE_LIST!$A:$K,ROW()-1-$L$2-$M$2+1,8),""),IF(ROW()-1&lt;=$L$2+$M$2+$N$2+$O$2,IFERROR(INDEX(PROFORMA!$A:$K,ROW()-1-$L$2-$M$2-$N$2+1,8),""),"")))))</f>
        <v>Y</v>
      </c>
      <c r="I65" s="3" t="str">
        <f>IF(ROW()-1&lt;=0,"",IF(ROW()-1&lt;=$L$2,IFERROR(INDEX(MCQ!$A:$K,ROW()-1+1,9),""),IF(ROW()-1&lt;=$L$2+$M$2,IFERROR(INDEX(CLOZE_AB!$A:$K,ROW()-1-$L$2+1,9),""),IF(ROW()-1&lt;=$L$2+$M$2+$N$2,IFERROR(INDEX(CLOZE_LIST!$A:$K,ROW()-1-$L$2-$M$2+1,9),""),IF(ROW()-1&lt;=$L$2+$M$2+$N$2+$O$2,IFERROR(INDEX(PROFORMA!$A:$K,ROW()-1-$L$2-$M$2-$N$2+1,9),""),"")))))</f>
        <v>badges;purpose_recall</v>
      </c>
      <c r="J65" s="3" t="str">
        <f>IF(ROW()-1&lt;=0,"",IF(ROW()-1&lt;=$L$2,IFERROR(INDEX(MCQ!$A:$K,ROW()-1+1,10),""),IF(ROW()-1&lt;=$L$2+$M$2,IFERROR(INDEX(CLOZE_AB!$A:$K,ROW()-1-$L$2+1,10),""),IF(ROW()-1&lt;=$L$2+$M$2+$N$2,IFERROR(INDEX(CLOZE_LIST!$A:$K,ROW()-1-$L$2-$M$2+1,10),""),IF(ROW()-1&lt;=$L$2+$M$2+$N$2+$O$2,IFERROR(INDEX(PROFORMA!$A:$K,ROW()-1-$L$2-$M$2-$N$2+1,10),""),"")))))</f>
        <v>assistant_generated</v>
      </c>
      <c r="K65" s="3">
        <f>IF(ROW()-1&lt;=0,"",IF(ROW()-1&lt;=$L$2,IFERROR(INDEX(MCQ!$A:$K,ROW()-1+1,11),""),IF(ROW()-1&lt;=$L$2+$M$2,IFERROR(INDEX(CLOZE_AB!$A:$K,ROW()-1-$L$2+1,11),""),IF(ROW()-1&lt;=$L$2+$M$2+$N$2,IFERROR(INDEX(CLOZE_LIST!$A:$K,ROW()-1-$L$2-$M$2+1,11),""),IF(ROW()-1&lt;=$L$2+$M$2+$N$2+$O$2,IFERROR(INDEX(PROFORMA!$A:$K,ROW()-1-$L$2-$M$2-$N$2+1,11),""),"")))))</f>
        <v>1</v>
      </c>
      <c r="L65" s="3">
        <f>COUNTA(MCQ!$A:$A)-1</f>
        <v>122</v>
      </c>
      <c r="M65" s="3">
        <f>COUNTA(CLOZE_AB!$A:$A)-1</f>
        <v>168</v>
      </c>
      <c r="N65" s="3">
        <f>COUNTA(CLOZE_LIST!$A:$A)-1</f>
        <v>199</v>
      </c>
      <c r="O65" s="3">
        <f>COUNTA(PROFORMA!$A:$A)-1</f>
        <v>199</v>
      </c>
    </row>
    <row r="66" spans="1:15" ht="28.8" x14ac:dyDescent="0.3">
      <c r="A66" s="3" t="str">
        <f>IF(ROW()-1&lt;=0,"",IF(ROW()-1&lt;=$L$2,IFERROR(INDEX(MCQ!$A:$K,ROW()-1+1,1),""),IF(ROW()-1&lt;=$L$2+$M$2,IFERROR(INDEX(CLOZE_AB!$A:$K,ROW()-1-$L$2+1,1),""),IF(ROW()-1&lt;=$L$2+$M$2+$N$2,IFERROR(INDEX(CLOZE_LIST!$A:$K,ROW()-1-$L$2-$M$2+1,1),""),IF(ROW()-1&lt;=$L$2+$M$2+$N$2+$O$2,IFERROR(INDEX(PROFORMA!$A:$K,ROW()-1-$L$2-$M$2-$N$2+1,1),""),"")))))</f>
        <v>MCQ_ITNIC_DEF_BADGES_007</v>
      </c>
      <c r="B66" s="3" t="str">
        <f>IF(ROW()-1&lt;=0,"",IF(ROW()-1&lt;=$L$2,IFERROR(INDEX(MCQ!$A:$K,ROW()-1+1,2),""),IF(ROW()-1&lt;=$L$2+$M$2,IFERROR(INDEX(CLOZE_AB!$A:$K,ROW()-1-$L$2+1,2),""),IF(ROW()-1&lt;=$L$2+$M$2+$N$2,IFERROR(INDEX(CLOZE_LIST!$A:$K,ROW()-1-$L$2-$M$2+1,2),""),IF(ROW()-1&lt;=$L$2+$M$2+$N$2+$O$2,IFERROR(INDEX(PROFORMA!$A:$K,ROW()-1-$L$2-$M$2-$N$2+1,2),""),"")))))</f>
        <v>Income tax &amp; NIC</v>
      </c>
      <c r="C66" s="3" t="str">
        <f>IF(ROW()-1&lt;=0,"",IF(ROW()-1&lt;=$L$2,IFERROR(INDEX(MCQ!$A:$K,ROW()-1+1,3),""),IF(ROW()-1&lt;=$L$2+$M$2,IFERROR(INDEX(CLOZE_AB!$A:$K,ROW()-1-$L$2+1,3),""),IF(ROW()-1&lt;=$L$2+$M$2+$N$2,IFERROR(INDEX(CLOZE_LIST!$A:$K,ROW()-1-$L$2-$M$2+1,3),""),IF(ROW()-1&lt;=$L$2+$M$2+$N$2+$O$2,IFERROR(INDEX(PROFORMA!$A:$K,ROW()-1-$L$2-$M$2-$N$2+1,3),""),"")))))</f>
        <v>definitions</v>
      </c>
      <c r="D66" s="3" t="str">
        <f>IF(ROW()-1&lt;=0,"",IF(ROW()-1&lt;=$L$2,IFERROR(INDEX(MCQ!$A:$K,ROW()-1+1,4),""),IF(ROW()-1&lt;=$L$2+$M$2,IFERROR(INDEX(CLOZE_AB!$A:$K,ROW()-1-$L$2+1,4),""),IF(ROW()-1&lt;=$L$2+$M$2+$N$2,IFERROR(INDEX(CLOZE_LIST!$A:$K,ROW()-1-$L$2-$M$2+1,4),""),IF(ROW()-1&lt;=$L$2+$M$2+$N$2+$O$2,IFERROR(INDEX(PROFORMA!$A:$K,ROW()-1-$L$2-$M$2-$N$2+1,4),""),"")))))</f>
        <v>Badges of trade</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3</v>
      </c>
      <c r="G66" s="3" t="str">
        <f>IF(ROW()-1&lt;=0,"",IF(ROW()-1&lt;=$L$2,IFERROR(INDEX(MCQ!$A:$K,ROW()-1+1,7),""),IF(ROW()-1&lt;=$L$2+$M$2,IFERROR(INDEX(CLOZE_AB!$A:$K,ROW()-1-$L$2+1,7),""),IF(ROW()-1&lt;=$L$2+$M$2+$N$2,IFERROR(INDEX(CLOZE_LIST!$A:$K,ROW()-1-$L$2-$M$2+1,7),""),IF(ROW()-1&lt;=$L$2+$M$2+$N$2+$O$2,IFERROR(INDEX(PROFORMA!$A:$K,ROW()-1-$L$2-$M$2-$N$2+1,7),""),"")))))</f>
        <v>core</v>
      </c>
      <c r="H66" s="3" t="str">
        <f>IF(ROW()-1&lt;=0,"",IF(ROW()-1&lt;=$L$2,IFERROR(INDEX(MCQ!$A:$K,ROW()-1+1,8),""),IF(ROW()-1&lt;=$L$2+$M$2,IFERROR(INDEX(CLOZE_AB!$A:$K,ROW()-1-$L$2+1,8),""),IF(ROW()-1&lt;=$L$2+$M$2+$N$2,IFERROR(INDEX(CLOZE_LIST!$A:$K,ROW()-1-$L$2-$M$2+1,8),""),IF(ROW()-1&lt;=$L$2+$M$2+$N$2+$O$2,IFERROR(INDEX(PROFORMA!$A:$K,ROW()-1-$L$2-$M$2-$N$2+1,8),""),"")))))</f>
        <v>Y</v>
      </c>
      <c r="I66" s="3" t="str">
        <f>IF(ROW()-1&lt;=0,"",IF(ROW()-1&lt;=$L$2,IFERROR(INDEX(MCQ!$A:$K,ROW()-1+1,9),""),IF(ROW()-1&lt;=$L$2+$M$2,IFERROR(INDEX(CLOZE_AB!$A:$K,ROW()-1-$L$2+1,9),""),IF(ROW()-1&lt;=$L$2+$M$2+$N$2,IFERROR(INDEX(CLOZE_LIST!$A:$K,ROW()-1-$L$2-$M$2+1,9),""),IF(ROW()-1&lt;=$L$2+$M$2+$N$2+$O$2,IFERROR(INDEX(PROFORMA!$A:$K,ROW()-1-$L$2-$M$2-$N$2+1,9),""),"")))))</f>
        <v>badges;supplementary_work</v>
      </c>
      <c r="J66" s="3" t="str">
        <f>IF(ROW()-1&lt;=0,"",IF(ROW()-1&lt;=$L$2,IFERROR(INDEX(MCQ!$A:$K,ROW()-1+1,10),""),IF(ROW()-1&lt;=$L$2+$M$2,IFERROR(INDEX(CLOZE_AB!$A:$K,ROW()-1-$L$2+1,10),""),IF(ROW()-1&lt;=$L$2+$M$2+$N$2,IFERROR(INDEX(CLOZE_LIST!$A:$K,ROW()-1-$L$2-$M$2+1,10),""),IF(ROW()-1&lt;=$L$2+$M$2+$N$2+$O$2,IFERROR(INDEX(PROFORMA!$A:$K,ROW()-1-$L$2-$M$2-$N$2+1,10),""),"")))))</f>
        <v>assistant_generated</v>
      </c>
      <c r="K66" s="3">
        <f>IF(ROW()-1&lt;=0,"",IF(ROW()-1&lt;=$L$2,IFERROR(INDEX(MCQ!$A:$K,ROW()-1+1,11),""),IF(ROW()-1&lt;=$L$2+$M$2,IFERROR(INDEX(CLOZE_AB!$A:$K,ROW()-1-$L$2+1,11),""),IF(ROW()-1&lt;=$L$2+$M$2+$N$2,IFERROR(INDEX(CLOZE_LIST!$A:$K,ROW()-1-$L$2-$M$2+1,11),""),IF(ROW()-1&lt;=$L$2+$M$2+$N$2+$O$2,IFERROR(INDEX(PROFORMA!$A:$K,ROW()-1-$L$2-$M$2-$N$2+1,11),""),"")))))</f>
        <v>1</v>
      </c>
      <c r="L66" s="3">
        <f>COUNTA(MCQ!$A:$A)-1</f>
        <v>122</v>
      </c>
      <c r="M66" s="3">
        <f>COUNTA(CLOZE_AB!$A:$A)-1</f>
        <v>168</v>
      </c>
      <c r="N66" s="3">
        <f>COUNTA(CLOZE_LIST!$A:$A)-1</f>
        <v>199</v>
      </c>
      <c r="O66" s="3">
        <f>COUNTA(PROFORMA!$A:$A)-1</f>
        <v>199</v>
      </c>
    </row>
    <row r="67" spans="1:15" ht="28.8" x14ac:dyDescent="0.3">
      <c r="A67" s="3" t="str">
        <f>IF(ROW()-1&lt;=0,"",IF(ROW()-1&lt;=$L$2,IFERROR(INDEX(MCQ!$A:$K,ROW()-1+1,1),""),IF(ROW()-1&lt;=$L$2+$M$2,IFERROR(INDEX(CLOZE_AB!$A:$K,ROW()-1-$L$2+1,1),""),IF(ROW()-1&lt;=$L$2+$M$2+$N$2,IFERROR(INDEX(CLOZE_LIST!$A:$K,ROW()-1-$L$2-$M$2+1,1),""),IF(ROW()-1&lt;=$L$2+$M$2+$N$2+$O$2,IFERROR(INDEX(PROFORMA!$A:$K,ROW()-1-$L$2-$M$2-$N$2+1,1),""),"")))))</f>
        <v>MCQ_ITNIC_DEF_BADGES_008</v>
      </c>
      <c r="B67" s="3" t="str">
        <f>IF(ROW()-1&lt;=0,"",IF(ROW()-1&lt;=$L$2,IFERROR(INDEX(MCQ!$A:$K,ROW()-1+1,2),""),IF(ROW()-1&lt;=$L$2+$M$2,IFERROR(INDEX(CLOZE_AB!$A:$K,ROW()-1-$L$2+1,2),""),IF(ROW()-1&lt;=$L$2+$M$2+$N$2,IFERROR(INDEX(CLOZE_LIST!$A:$K,ROW()-1-$L$2-$M$2+1,2),""),IF(ROW()-1&lt;=$L$2+$M$2+$N$2+$O$2,IFERROR(INDEX(PROFORMA!$A:$K,ROW()-1-$L$2-$M$2-$N$2+1,2),""),"")))))</f>
        <v>Income tax &amp; NIC</v>
      </c>
      <c r="C67" s="3" t="str">
        <f>IF(ROW()-1&lt;=0,"",IF(ROW()-1&lt;=$L$2,IFERROR(INDEX(MCQ!$A:$K,ROW()-1+1,3),""),IF(ROW()-1&lt;=$L$2+$M$2,IFERROR(INDEX(CLOZE_AB!$A:$K,ROW()-1-$L$2+1,3),""),IF(ROW()-1&lt;=$L$2+$M$2+$N$2,IFERROR(INDEX(CLOZE_LIST!$A:$K,ROW()-1-$L$2-$M$2+1,3),""),IF(ROW()-1&lt;=$L$2+$M$2+$N$2+$O$2,IFERROR(INDEX(PROFORMA!$A:$K,ROW()-1-$L$2-$M$2-$N$2+1,3),""),"")))))</f>
        <v>definitions</v>
      </c>
      <c r="D67" s="3" t="str">
        <f>IF(ROW()-1&lt;=0,"",IF(ROW()-1&lt;=$L$2,IFERROR(INDEX(MCQ!$A:$K,ROW()-1+1,4),""),IF(ROW()-1&lt;=$L$2+$M$2,IFERROR(INDEX(CLOZE_AB!$A:$K,ROW()-1-$L$2+1,4),""),IF(ROW()-1&lt;=$L$2+$M$2+$N$2,IFERROR(INDEX(CLOZE_LIST!$A:$K,ROW()-1-$L$2-$M$2+1,4),""),IF(ROW()-1&lt;=$L$2+$M$2+$N$2+$O$2,IFERROR(INDEX(PROFORMA!$A:$K,ROW()-1-$L$2-$M$2-$N$2+1,4),""),"")))))</f>
        <v>Badges of trade</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3</v>
      </c>
      <c r="G67" s="3" t="str">
        <f>IF(ROW()-1&lt;=0,"",IF(ROW()-1&lt;=$L$2,IFERROR(INDEX(MCQ!$A:$K,ROW()-1+1,7),""),IF(ROW()-1&lt;=$L$2+$M$2,IFERROR(INDEX(CLOZE_AB!$A:$K,ROW()-1-$L$2+1,7),""),IF(ROW()-1&lt;=$L$2+$M$2+$N$2,IFERROR(INDEX(CLOZE_LIST!$A:$K,ROW()-1-$L$2-$M$2+1,7),""),IF(ROW()-1&lt;=$L$2+$M$2+$N$2+$O$2,IFERROR(INDEX(PROFORMA!$A:$K,ROW()-1-$L$2-$M$2-$N$2+1,7),""),"")))))</f>
        <v>core</v>
      </c>
      <c r="H67" s="3" t="str">
        <f>IF(ROW()-1&lt;=0,"",IF(ROW()-1&lt;=$L$2,IFERROR(INDEX(MCQ!$A:$K,ROW()-1+1,8),""),IF(ROW()-1&lt;=$L$2+$M$2,IFERROR(INDEX(CLOZE_AB!$A:$K,ROW()-1-$L$2+1,8),""),IF(ROW()-1&lt;=$L$2+$M$2+$N$2,IFERROR(INDEX(CLOZE_LIST!$A:$K,ROW()-1-$L$2-$M$2+1,8),""),IF(ROW()-1&lt;=$L$2+$M$2+$N$2+$O$2,IFERROR(INDEX(PROFORMA!$A:$K,ROW()-1-$L$2-$M$2-$N$2+1,8),""),"")))))</f>
        <v>Y</v>
      </c>
      <c r="I67" s="3" t="str">
        <f>IF(ROW()-1&lt;=0,"",IF(ROW()-1&lt;=$L$2,IFERROR(INDEX(MCQ!$A:$K,ROW()-1+1,9),""),IF(ROW()-1&lt;=$L$2+$M$2,IFERROR(INDEX(CLOZE_AB!$A:$K,ROW()-1-$L$2+1,9),""),IF(ROW()-1&lt;=$L$2+$M$2+$N$2,IFERROR(INDEX(CLOZE_LIST!$A:$K,ROW()-1-$L$2-$M$2+1,9),""),IF(ROW()-1&lt;=$L$2+$M$2+$N$2+$O$2,IFERROR(INDEX(PROFORMA!$A:$K,ROW()-1-$L$2-$M$2-$N$2+1,9),""),"")))))</f>
        <v>badges;finance</v>
      </c>
      <c r="J67" s="3" t="str">
        <f>IF(ROW()-1&lt;=0,"",IF(ROW()-1&lt;=$L$2,IFERROR(INDEX(MCQ!$A:$K,ROW()-1+1,10),""),IF(ROW()-1&lt;=$L$2+$M$2,IFERROR(INDEX(CLOZE_AB!$A:$K,ROW()-1-$L$2+1,10),""),IF(ROW()-1&lt;=$L$2+$M$2+$N$2,IFERROR(INDEX(CLOZE_LIST!$A:$K,ROW()-1-$L$2-$M$2+1,10),""),IF(ROW()-1&lt;=$L$2+$M$2+$N$2+$O$2,IFERROR(INDEX(PROFORMA!$A:$K,ROW()-1-$L$2-$M$2-$N$2+1,10),""),"")))))</f>
        <v>assistant_generated</v>
      </c>
      <c r="K67" s="3">
        <f>IF(ROW()-1&lt;=0,"",IF(ROW()-1&lt;=$L$2,IFERROR(INDEX(MCQ!$A:$K,ROW()-1+1,11),""),IF(ROW()-1&lt;=$L$2+$M$2,IFERROR(INDEX(CLOZE_AB!$A:$K,ROW()-1-$L$2+1,11),""),IF(ROW()-1&lt;=$L$2+$M$2+$N$2,IFERROR(INDEX(CLOZE_LIST!$A:$K,ROW()-1-$L$2-$M$2+1,11),""),IF(ROW()-1&lt;=$L$2+$M$2+$N$2+$O$2,IFERROR(INDEX(PROFORMA!$A:$K,ROW()-1-$L$2-$M$2-$N$2+1,11),""),"")))))</f>
        <v>1</v>
      </c>
      <c r="L67" s="3">
        <f>COUNTA(MCQ!$A:$A)-1</f>
        <v>122</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MCQ_FR_FILE_TAXDEAD_001</v>
      </c>
      <c r="B68" s="3" t="str">
        <f>IF(ROW()-1&lt;=0,"",IF(ROW()-1&lt;=$L$2,IFERROR(INDEX(MCQ!$A:$K,ROW()-1+1,2),""),IF(ROW()-1&lt;=$L$2+$M$2,IFERROR(INDEX(CLOZE_AB!$A:$K,ROW()-1-$L$2+1,2),""),IF(ROW()-1&lt;=$L$2+$M$2+$N$2,IFERROR(INDEX(CLOZE_LIST!$A:$K,ROW()-1-$L$2-$M$2+1,2),""),IF(ROW()-1&lt;=$L$2+$M$2+$N$2+$O$2,IFERROR(INDEX(PROFORMA!$A:$K,ROW()-1-$L$2-$M$2-$N$2+1,2),""),"")))))</f>
        <v>Filing rules</v>
      </c>
      <c r="C68" s="3" t="str">
        <f>IF(ROW()-1&lt;=0,"",IF(ROW()-1&lt;=$L$2,IFERROR(INDEX(MCQ!$A:$K,ROW()-1+1,3),""),IF(ROW()-1&lt;=$L$2+$M$2,IFERROR(INDEX(CLOZE_AB!$A:$K,ROW()-1-$L$2+1,3),""),IF(ROW()-1&lt;=$L$2+$M$2+$N$2,IFERROR(INDEX(CLOZE_LIST!$A:$K,ROW()-1-$L$2-$M$2+1,3),""),IF(ROW()-1&lt;=$L$2+$M$2+$N$2+$O$2,IFERROR(INDEX(PROFORMA!$A:$K,ROW()-1-$L$2-$M$2-$N$2+1,3),""),"")))))</f>
        <v>filing_requirements</v>
      </c>
      <c r="D68" s="3" t="str">
        <f>IF(ROW()-1&lt;=0,"",IF(ROW()-1&lt;=$L$2,IFERROR(INDEX(MCQ!$A:$K,ROW()-1+1,4),""),IF(ROW()-1&lt;=$L$2+$M$2,IFERROR(INDEX(CLOZE_AB!$A:$K,ROW()-1-$L$2+1,4),""),IF(ROW()-1&lt;=$L$2+$M$2+$N$2,IFERROR(INDEX(CLOZE_LIST!$A:$K,ROW()-1-$L$2-$M$2+1,4),""),IF(ROW()-1&lt;=$L$2+$M$2+$N$2+$O$2,IFERROR(INDEX(PROFORMA!$A:$K,ROW()-1-$L$2-$M$2-$N$2+1,4),""),"")))))</f>
        <v>Filing, payment and claims deadlines</v>
      </c>
      <c r="E68" s="3" t="str">
        <f>IF(ROW()-1&lt;=0,"",IF(ROW()-1&lt;=$L$2,IFERROR(INDEX(MCQ!$A:$K,ROW()-1+1,5),""),IF(ROW()-1&lt;=$L$2+$M$2,IFERROR(INDEX(CLOZE_AB!$A:$K,ROW()-1-$L$2+1,5),""),IF(ROW()-1&lt;=$L$2+$M$2+$N$2,IFERROR(INDEX(CLOZE_LIST!$A:$K,ROW()-1-$L$2-$M$2+1,5),""),IF(ROW()-1&lt;=$L$2+$M$2+$N$2+$O$2,IFERROR(INDEX(PROFORMA!$A:$K,ROW()-1-$L$2-$M$2-$N$2+1,5),""),"")))))</f>
        <v>mcq_radio</v>
      </c>
      <c r="F68" s="3">
        <f>IF(ROW()-1&lt;=0,"",IF(ROW()-1&lt;=$L$2,IFERROR(INDEX(MCQ!$A:$K,ROW()-1+1,6),""),IF(ROW()-1&lt;=$L$2+$M$2,IFERROR(INDEX(CLOZE_AB!$A:$K,ROW()-1-$L$2+1,6),""),IF(ROW()-1&lt;=$L$2+$M$2+$N$2,IFERROR(INDEX(CLOZE_LIST!$A:$K,ROW()-1-$L$2-$M$2+1,6),""),IF(ROW()-1&lt;=$L$2+$M$2+$N$2+$O$2,IFERROR(INDEX(PROFORMA!$A:$K,ROW()-1-$L$2-$M$2-$N$2+1,6),""),"")))))</f>
        <v>3</v>
      </c>
      <c r="G68" s="3" t="str">
        <f>IF(ROW()-1&lt;=0,"",IF(ROW()-1&lt;=$L$2,IFERROR(INDEX(MCQ!$A:$K,ROW()-1+1,7),""),IF(ROW()-1&lt;=$L$2+$M$2,IFERROR(INDEX(CLOZE_AB!$A:$K,ROW()-1-$L$2+1,7),""),IF(ROW()-1&lt;=$L$2+$M$2+$N$2,IFERROR(INDEX(CLOZE_LIST!$A:$K,ROW()-1-$L$2-$M$2+1,7),""),IF(ROW()-1&lt;=$L$2+$M$2+$N$2+$O$2,IFERROR(INDEX(PROFORMA!$A:$K,ROW()-1-$L$2-$M$2-$N$2+1,7),""),"")))))</f>
        <v>core</v>
      </c>
      <c r="H68" s="3" t="str">
        <f>IF(ROW()-1&lt;=0,"",IF(ROW()-1&lt;=$L$2,IFERROR(INDEX(MCQ!$A:$K,ROW()-1+1,8),""),IF(ROW()-1&lt;=$L$2+$M$2,IFERROR(INDEX(CLOZE_AB!$A:$K,ROW()-1-$L$2+1,8),""),IF(ROW()-1&lt;=$L$2+$M$2+$N$2,IFERROR(INDEX(CLOZE_LIST!$A:$K,ROW()-1-$L$2-$M$2+1,8),""),IF(ROW()-1&lt;=$L$2+$M$2+$N$2+$O$2,IFERROR(INDEX(PROFORMA!$A:$K,ROW()-1-$L$2-$M$2-$N$2+1,8),""),"")))))</f>
        <v>Y</v>
      </c>
      <c r="I68" s="3" t="str">
        <f>IF(ROW()-1&lt;=0,"",IF(ROW()-1&lt;=$L$2,IFERROR(INDEX(MCQ!$A:$K,ROW()-1+1,9),""),IF(ROW()-1&lt;=$L$2+$M$2,IFERROR(INDEX(CLOZE_AB!$A:$K,ROW()-1-$L$2+1,9),""),IF(ROW()-1&lt;=$L$2+$M$2+$N$2,IFERROR(INDEX(CLOZE_LIST!$A:$K,ROW()-1-$L$2-$M$2+1,9),""),IF(ROW()-1&lt;=$L$2+$M$2+$N$2+$O$2,IFERROR(INDEX(PROFORMA!$A:$K,ROW()-1-$L$2-$M$2-$N$2+1,9),""),"")))))</f>
        <v>deadlines;claims</v>
      </c>
      <c r="J68" s="3" t="str">
        <f>IF(ROW()-1&lt;=0,"",IF(ROW()-1&lt;=$L$2,IFERROR(INDEX(MCQ!$A:$K,ROW()-1+1,10),""),IF(ROW()-1&lt;=$L$2+$M$2,IFERROR(INDEX(CLOZE_AB!$A:$K,ROW()-1-$L$2+1,10),""),IF(ROW()-1&lt;=$L$2+$M$2+$N$2,IFERROR(INDEX(CLOZE_LIST!$A:$K,ROW()-1-$L$2-$M$2+1,10),""),IF(ROW()-1&lt;=$L$2+$M$2+$N$2+$O$2,IFERROR(INDEX(PROFORMA!$A:$K,ROW()-1-$L$2-$M$2-$N$2+1,10),""),"")))))</f>
        <v>user_supplied</v>
      </c>
      <c r="K68" s="3">
        <f>IF(ROW()-1&lt;=0,"",IF(ROW()-1&lt;=$L$2,IFERROR(INDEX(MCQ!$A:$K,ROW()-1+1,11),""),IF(ROW()-1&lt;=$L$2+$M$2,IFERROR(INDEX(CLOZE_AB!$A:$K,ROW()-1-$L$2+1,11),""),IF(ROW()-1&lt;=$L$2+$M$2+$N$2,IFERROR(INDEX(CLOZE_LIST!$A:$K,ROW()-1-$L$2-$M$2+1,11),""),IF(ROW()-1&lt;=$L$2+$M$2+$N$2+$O$2,IFERROR(INDEX(PROFORMA!$A:$K,ROW()-1-$L$2-$M$2-$N$2+1,11),""),"")))))</f>
        <v>1</v>
      </c>
      <c r="L68" s="3">
        <f>COUNTA(MCQ!$A:$A)-1</f>
        <v>122</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MCQ_FR_FILE_TAXDEAD_002</v>
      </c>
      <c r="B69" s="3" t="str">
        <f>IF(ROW()-1&lt;=0,"",IF(ROW()-1&lt;=$L$2,IFERROR(INDEX(MCQ!$A:$K,ROW()-1+1,2),""),IF(ROW()-1&lt;=$L$2+$M$2,IFERROR(INDEX(CLOZE_AB!$A:$K,ROW()-1-$L$2+1,2),""),IF(ROW()-1&lt;=$L$2+$M$2+$N$2,IFERROR(INDEX(CLOZE_LIST!$A:$K,ROW()-1-$L$2-$M$2+1,2),""),IF(ROW()-1&lt;=$L$2+$M$2+$N$2+$O$2,IFERROR(INDEX(PROFORMA!$A:$K,ROW()-1-$L$2-$M$2-$N$2+1,2),""),"")))))</f>
        <v>Filing rules</v>
      </c>
      <c r="C69" s="3" t="str">
        <f>IF(ROW()-1&lt;=0,"",IF(ROW()-1&lt;=$L$2,IFERROR(INDEX(MCQ!$A:$K,ROW()-1+1,3),""),IF(ROW()-1&lt;=$L$2+$M$2,IFERROR(INDEX(CLOZE_AB!$A:$K,ROW()-1-$L$2+1,3),""),IF(ROW()-1&lt;=$L$2+$M$2+$N$2,IFERROR(INDEX(CLOZE_LIST!$A:$K,ROW()-1-$L$2-$M$2+1,3),""),IF(ROW()-1&lt;=$L$2+$M$2+$N$2+$O$2,IFERROR(INDEX(PROFORMA!$A:$K,ROW()-1-$L$2-$M$2-$N$2+1,3),""),"")))))</f>
        <v>filing_requirements</v>
      </c>
      <c r="D69" s="3" t="str">
        <f>IF(ROW()-1&lt;=0,"",IF(ROW()-1&lt;=$L$2,IFERROR(INDEX(MCQ!$A:$K,ROW()-1+1,4),""),IF(ROW()-1&lt;=$L$2+$M$2,IFERROR(INDEX(CLOZE_AB!$A:$K,ROW()-1-$L$2+1,4),""),IF(ROW()-1&lt;=$L$2+$M$2+$N$2,IFERROR(INDEX(CLOZE_LIST!$A:$K,ROW()-1-$L$2-$M$2+1,4),""),IF(ROW()-1&lt;=$L$2+$M$2+$N$2+$O$2,IFERROR(INDEX(PROFORMA!$A:$K,ROW()-1-$L$2-$M$2-$N$2+1,4),""),"")))))</f>
        <v>Filing, payment and claims deadlines</v>
      </c>
      <c r="E69" s="3" t="str">
        <f>IF(ROW()-1&lt;=0,"",IF(ROW()-1&lt;=$L$2,IFERROR(INDEX(MCQ!$A:$K,ROW()-1+1,5),""),IF(ROW()-1&lt;=$L$2+$M$2,IFERROR(INDEX(CLOZE_AB!$A:$K,ROW()-1-$L$2+1,5),""),IF(ROW()-1&lt;=$L$2+$M$2+$N$2,IFERROR(INDEX(CLOZE_LIST!$A:$K,ROW()-1-$L$2-$M$2+1,5),""),IF(ROW()-1&lt;=$L$2+$M$2+$N$2+$O$2,IFERROR(INDEX(PROFORMA!$A:$K,ROW()-1-$L$2-$M$2-$N$2+1,5),""),"")))))</f>
        <v>mcq_radio</v>
      </c>
      <c r="F69" s="3">
        <f>IF(ROW()-1&lt;=0,"",IF(ROW()-1&lt;=$L$2,IFERROR(INDEX(MCQ!$A:$K,ROW()-1+1,6),""),IF(ROW()-1&lt;=$L$2+$M$2,IFERROR(INDEX(CLOZE_AB!$A:$K,ROW()-1-$L$2+1,6),""),IF(ROW()-1&lt;=$L$2+$M$2+$N$2,IFERROR(INDEX(CLOZE_LIST!$A:$K,ROW()-1-$L$2-$M$2+1,6),""),IF(ROW()-1&lt;=$L$2+$M$2+$N$2+$O$2,IFERROR(INDEX(PROFORMA!$A:$K,ROW()-1-$L$2-$M$2-$N$2+1,6),""),"")))))</f>
        <v>3</v>
      </c>
      <c r="G69" s="3" t="str">
        <f>IF(ROW()-1&lt;=0,"",IF(ROW()-1&lt;=$L$2,IFERROR(INDEX(MCQ!$A:$K,ROW()-1+1,7),""),IF(ROW()-1&lt;=$L$2+$M$2,IFERROR(INDEX(CLOZE_AB!$A:$K,ROW()-1-$L$2+1,7),""),IF(ROW()-1&lt;=$L$2+$M$2+$N$2,IFERROR(INDEX(CLOZE_LIST!$A:$K,ROW()-1-$L$2-$M$2+1,7),""),IF(ROW()-1&lt;=$L$2+$M$2+$N$2+$O$2,IFERROR(INDEX(PROFORMA!$A:$K,ROW()-1-$L$2-$M$2-$N$2+1,7),""),"")))))</f>
        <v>core</v>
      </c>
      <c r="H69" s="3" t="str">
        <f>IF(ROW()-1&lt;=0,"",IF(ROW()-1&lt;=$L$2,IFERROR(INDEX(MCQ!$A:$K,ROW()-1+1,8),""),IF(ROW()-1&lt;=$L$2+$M$2,IFERROR(INDEX(CLOZE_AB!$A:$K,ROW()-1-$L$2+1,8),""),IF(ROW()-1&lt;=$L$2+$M$2+$N$2,IFERROR(INDEX(CLOZE_LIST!$A:$K,ROW()-1-$L$2-$M$2+1,8),""),IF(ROW()-1&lt;=$L$2+$M$2+$N$2+$O$2,IFERROR(INDEX(PROFORMA!$A:$K,ROW()-1-$L$2-$M$2-$N$2+1,8),""),"")))))</f>
        <v>Y</v>
      </c>
      <c r="I69" s="3" t="str">
        <f>IF(ROW()-1&lt;=0,"",IF(ROW()-1&lt;=$L$2,IFERROR(INDEX(MCQ!$A:$K,ROW()-1+1,9),""),IF(ROW()-1&lt;=$L$2+$M$2,IFERROR(INDEX(CLOZE_AB!$A:$K,ROW()-1-$L$2+1,9),""),IF(ROW()-1&lt;=$L$2+$M$2+$N$2,IFERROR(INDEX(CLOZE_LIST!$A:$K,ROW()-1-$L$2-$M$2+1,9),""),IF(ROW()-1&lt;=$L$2+$M$2+$N$2+$O$2,IFERROR(INDEX(PROFORMA!$A:$K,ROW()-1-$L$2-$M$2-$N$2+1,9),""),"")))))</f>
        <v>deadlines;claims</v>
      </c>
      <c r="J69" s="3" t="str">
        <f>IF(ROW()-1&lt;=0,"",IF(ROW()-1&lt;=$L$2,IFERROR(INDEX(MCQ!$A:$K,ROW()-1+1,10),""),IF(ROW()-1&lt;=$L$2+$M$2,IFERROR(INDEX(CLOZE_AB!$A:$K,ROW()-1-$L$2+1,10),""),IF(ROW()-1&lt;=$L$2+$M$2+$N$2,IFERROR(INDEX(CLOZE_LIST!$A:$K,ROW()-1-$L$2-$M$2+1,10),""),IF(ROW()-1&lt;=$L$2+$M$2+$N$2+$O$2,IFERROR(INDEX(PROFORMA!$A:$K,ROW()-1-$L$2-$M$2-$N$2+1,10),""),"")))))</f>
        <v>user_supplied</v>
      </c>
      <c r="K69" s="3">
        <f>IF(ROW()-1&lt;=0,"",IF(ROW()-1&lt;=$L$2,IFERROR(INDEX(MCQ!$A:$K,ROW()-1+1,11),""),IF(ROW()-1&lt;=$L$2+$M$2,IFERROR(INDEX(CLOZE_AB!$A:$K,ROW()-1-$L$2+1,11),""),IF(ROW()-1&lt;=$L$2+$M$2+$N$2,IFERROR(INDEX(CLOZE_LIST!$A:$K,ROW()-1-$L$2-$M$2+1,11),""),IF(ROW()-1&lt;=$L$2+$M$2+$N$2+$O$2,IFERROR(INDEX(PROFORMA!$A:$K,ROW()-1-$L$2-$M$2-$N$2+1,11),""),"")))))</f>
        <v>1</v>
      </c>
      <c r="L69" s="3">
        <f>COUNTA(MCQ!$A:$A)-1</f>
        <v>122</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MCQ_FR_FILE_TAXDEAD_003</v>
      </c>
      <c r="B70" s="3" t="str">
        <f>IF(ROW()-1&lt;=0,"",IF(ROW()-1&lt;=$L$2,IFERROR(INDEX(MCQ!$A:$K,ROW()-1+1,2),""),IF(ROW()-1&lt;=$L$2+$M$2,IFERROR(INDEX(CLOZE_AB!$A:$K,ROW()-1-$L$2+1,2),""),IF(ROW()-1&lt;=$L$2+$M$2+$N$2,IFERROR(INDEX(CLOZE_LIST!$A:$K,ROW()-1-$L$2-$M$2+1,2),""),IF(ROW()-1&lt;=$L$2+$M$2+$N$2+$O$2,IFERROR(INDEX(PROFORMA!$A:$K,ROW()-1-$L$2-$M$2-$N$2+1,2),""),"")))))</f>
        <v>Filing rules</v>
      </c>
      <c r="C70" s="3" t="str">
        <f>IF(ROW()-1&lt;=0,"",IF(ROW()-1&lt;=$L$2,IFERROR(INDEX(MCQ!$A:$K,ROW()-1+1,3),""),IF(ROW()-1&lt;=$L$2+$M$2,IFERROR(INDEX(CLOZE_AB!$A:$K,ROW()-1-$L$2+1,3),""),IF(ROW()-1&lt;=$L$2+$M$2+$N$2,IFERROR(INDEX(CLOZE_LIST!$A:$K,ROW()-1-$L$2-$M$2+1,3),""),IF(ROW()-1&lt;=$L$2+$M$2+$N$2+$O$2,IFERROR(INDEX(PROFORMA!$A:$K,ROW()-1-$L$2-$M$2-$N$2+1,3),""),"")))))</f>
        <v>filing_requirements</v>
      </c>
      <c r="D70" s="3" t="str">
        <f>IF(ROW()-1&lt;=0,"",IF(ROW()-1&lt;=$L$2,IFERROR(INDEX(MCQ!$A:$K,ROW()-1+1,4),""),IF(ROW()-1&lt;=$L$2+$M$2,IFERROR(INDEX(CLOZE_AB!$A:$K,ROW()-1-$L$2+1,4),""),IF(ROW()-1&lt;=$L$2+$M$2+$N$2,IFERROR(INDEX(CLOZE_LIST!$A:$K,ROW()-1-$L$2-$M$2+1,4),""),IF(ROW()-1&lt;=$L$2+$M$2+$N$2+$O$2,IFERROR(INDEX(PROFORMA!$A:$K,ROW()-1-$L$2-$M$2-$N$2+1,4),""),"")))))</f>
        <v>Filing, payment and claims deadlines</v>
      </c>
      <c r="E70" s="3" t="str">
        <f>IF(ROW()-1&lt;=0,"",IF(ROW()-1&lt;=$L$2,IFERROR(INDEX(MCQ!$A:$K,ROW()-1+1,5),""),IF(ROW()-1&lt;=$L$2+$M$2,IFERROR(INDEX(CLOZE_AB!$A:$K,ROW()-1-$L$2+1,5),""),IF(ROW()-1&lt;=$L$2+$M$2+$N$2,IFERROR(INDEX(CLOZE_LIST!$A:$K,ROW()-1-$L$2-$M$2+1,5),""),IF(ROW()-1&lt;=$L$2+$M$2+$N$2+$O$2,IFERROR(INDEX(PROFORMA!$A:$K,ROW()-1-$L$2-$M$2-$N$2+1,5),""),"")))))</f>
        <v>mcq_radio</v>
      </c>
      <c r="F70" s="3">
        <f>IF(ROW()-1&lt;=0,"",IF(ROW()-1&lt;=$L$2,IFERROR(INDEX(MCQ!$A:$K,ROW()-1+1,6),""),IF(ROW()-1&lt;=$L$2+$M$2,IFERROR(INDEX(CLOZE_AB!$A:$K,ROW()-1-$L$2+1,6),""),IF(ROW()-1&lt;=$L$2+$M$2+$N$2,IFERROR(INDEX(CLOZE_LIST!$A:$K,ROW()-1-$L$2-$M$2+1,6),""),IF(ROW()-1&lt;=$L$2+$M$2+$N$2+$O$2,IFERROR(INDEX(PROFORMA!$A:$K,ROW()-1-$L$2-$M$2-$N$2+1,6),""),"")))))</f>
        <v>3</v>
      </c>
      <c r="G70" s="3" t="str">
        <f>IF(ROW()-1&lt;=0,"",IF(ROW()-1&lt;=$L$2,IFERROR(INDEX(MCQ!$A:$K,ROW()-1+1,7),""),IF(ROW()-1&lt;=$L$2+$M$2,IFERROR(INDEX(CLOZE_AB!$A:$K,ROW()-1-$L$2+1,7),""),IF(ROW()-1&lt;=$L$2+$M$2+$N$2,IFERROR(INDEX(CLOZE_LIST!$A:$K,ROW()-1-$L$2-$M$2+1,7),""),IF(ROW()-1&lt;=$L$2+$M$2+$N$2+$O$2,IFERROR(INDEX(PROFORMA!$A:$K,ROW()-1-$L$2-$M$2-$N$2+1,7),""),"")))))</f>
        <v>core</v>
      </c>
      <c r="H70" s="3" t="str">
        <f>IF(ROW()-1&lt;=0,"",IF(ROW()-1&lt;=$L$2,IFERROR(INDEX(MCQ!$A:$K,ROW()-1+1,8),""),IF(ROW()-1&lt;=$L$2+$M$2,IFERROR(INDEX(CLOZE_AB!$A:$K,ROW()-1-$L$2+1,8),""),IF(ROW()-1&lt;=$L$2+$M$2+$N$2,IFERROR(INDEX(CLOZE_LIST!$A:$K,ROW()-1-$L$2-$M$2+1,8),""),IF(ROW()-1&lt;=$L$2+$M$2+$N$2+$O$2,IFERROR(INDEX(PROFORMA!$A:$K,ROW()-1-$L$2-$M$2-$N$2+1,8),""),"")))))</f>
        <v>Y</v>
      </c>
      <c r="I70" s="3" t="str">
        <f>IF(ROW()-1&lt;=0,"",IF(ROW()-1&lt;=$L$2,IFERROR(INDEX(MCQ!$A:$K,ROW()-1+1,9),""),IF(ROW()-1&lt;=$L$2+$M$2,IFERROR(INDEX(CLOZE_AB!$A:$K,ROW()-1-$L$2+1,9),""),IF(ROW()-1&lt;=$L$2+$M$2+$N$2,IFERROR(INDEX(CLOZE_LIST!$A:$K,ROW()-1-$L$2-$M$2+1,9),""),IF(ROW()-1&lt;=$L$2+$M$2+$N$2+$O$2,IFERROR(INDEX(PROFORMA!$A:$K,ROW()-1-$L$2-$M$2-$N$2+1,9),""),"")))))</f>
        <v>deadlines;claims</v>
      </c>
      <c r="J70" s="3" t="str">
        <f>IF(ROW()-1&lt;=0,"",IF(ROW()-1&lt;=$L$2,IFERROR(INDEX(MCQ!$A:$K,ROW()-1+1,10),""),IF(ROW()-1&lt;=$L$2+$M$2,IFERROR(INDEX(CLOZE_AB!$A:$K,ROW()-1-$L$2+1,10),""),IF(ROW()-1&lt;=$L$2+$M$2+$N$2,IFERROR(INDEX(CLOZE_LIST!$A:$K,ROW()-1-$L$2-$M$2+1,10),""),IF(ROW()-1&lt;=$L$2+$M$2+$N$2+$O$2,IFERROR(INDEX(PROFORMA!$A:$K,ROW()-1-$L$2-$M$2-$N$2+1,10),""),"")))))</f>
        <v>user_supplied</v>
      </c>
      <c r="K70" s="3">
        <f>IF(ROW()-1&lt;=0,"",IF(ROW()-1&lt;=$L$2,IFERROR(INDEX(MCQ!$A:$K,ROW()-1+1,11),""),IF(ROW()-1&lt;=$L$2+$M$2,IFERROR(INDEX(CLOZE_AB!$A:$K,ROW()-1-$L$2+1,11),""),IF(ROW()-1&lt;=$L$2+$M$2+$N$2,IFERROR(INDEX(CLOZE_LIST!$A:$K,ROW()-1-$L$2-$M$2+1,11),""),IF(ROW()-1&lt;=$L$2+$M$2+$N$2+$O$2,IFERROR(INDEX(PROFORMA!$A:$K,ROW()-1-$L$2-$M$2-$N$2+1,11),""),"")))))</f>
        <v>1</v>
      </c>
      <c r="L70" s="3">
        <f>COUNTA(MCQ!$A:$A)-1</f>
        <v>122</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MCQ_FR_FILE_TAXDEAD_004</v>
      </c>
      <c r="B71" s="3" t="str">
        <f>IF(ROW()-1&lt;=0,"",IF(ROW()-1&lt;=$L$2,IFERROR(INDEX(MCQ!$A:$K,ROW()-1+1,2),""),IF(ROW()-1&lt;=$L$2+$M$2,IFERROR(INDEX(CLOZE_AB!$A:$K,ROW()-1-$L$2+1,2),""),IF(ROW()-1&lt;=$L$2+$M$2+$N$2,IFERROR(INDEX(CLOZE_LIST!$A:$K,ROW()-1-$L$2-$M$2+1,2),""),IF(ROW()-1&lt;=$L$2+$M$2+$N$2+$O$2,IFERROR(INDEX(PROFORMA!$A:$K,ROW()-1-$L$2-$M$2-$N$2+1,2),""),"")))))</f>
        <v>Filing rules</v>
      </c>
      <c r="C71" s="3" t="str">
        <f>IF(ROW()-1&lt;=0,"",IF(ROW()-1&lt;=$L$2,IFERROR(INDEX(MCQ!$A:$K,ROW()-1+1,3),""),IF(ROW()-1&lt;=$L$2+$M$2,IFERROR(INDEX(CLOZE_AB!$A:$K,ROW()-1-$L$2+1,3),""),IF(ROW()-1&lt;=$L$2+$M$2+$N$2,IFERROR(INDEX(CLOZE_LIST!$A:$K,ROW()-1-$L$2-$M$2+1,3),""),IF(ROW()-1&lt;=$L$2+$M$2+$N$2+$O$2,IFERROR(INDEX(PROFORMA!$A:$K,ROW()-1-$L$2-$M$2-$N$2+1,3),""),"")))))</f>
        <v>filing_requirements</v>
      </c>
      <c r="D71" s="3" t="str">
        <f>IF(ROW()-1&lt;=0,"",IF(ROW()-1&lt;=$L$2,IFERROR(INDEX(MCQ!$A:$K,ROW()-1+1,4),""),IF(ROW()-1&lt;=$L$2+$M$2,IFERROR(INDEX(CLOZE_AB!$A:$K,ROW()-1-$L$2+1,4),""),IF(ROW()-1&lt;=$L$2+$M$2+$N$2,IFERROR(INDEX(CLOZE_LIST!$A:$K,ROW()-1-$L$2-$M$2+1,4),""),IF(ROW()-1&lt;=$L$2+$M$2+$N$2+$O$2,IFERROR(INDEX(PROFORMA!$A:$K,ROW()-1-$L$2-$M$2-$N$2+1,4),""),"")))))</f>
        <v>Filing, payment and claims deadlines</v>
      </c>
      <c r="E71" s="3" t="str">
        <f>IF(ROW()-1&lt;=0,"",IF(ROW()-1&lt;=$L$2,IFERROR(INDEX(MCQ!$A:$K,ROW()-1+1,5),""),IF(ROW()-1&lt;=$L$2+$M$2,IFERROR(INDEX(CLOZE_AB!$A:$K,ROW()-1-$L$2+1,5),""),IF(ROW()-1&lt;=$L$2+$M$2+$N$2,IFERROR(INDEX(CLOZE_LIST!$A:$K,ROW()-1-$L$2-$M$2+1,5),""),IF(ROW()-1&lt;=$L$2+$M$2+$N$2+$O$2,IFERROR(INDEX(PROFORMA!$A:$K,ROW()-1-$L$2-$M$2-$N$2+1,5),""),"")))))</f>
        <v>mcq_radio</v>
      </c>
      <c r="F71" s="3">
        <f>IF(ROW()-1&lt;=0,"",IF(ROW()-1&lt;=$L$2,IFERROR(INDEX(MCQ!$A:$K,ROW()-1+1,6),""),IF(ROW()-1&lt;=$L$2+$M$2,IFERROR(INDEX(CLOZE_AB!$A:$K,ROW()-1-$L$2+1,6),""),IF(ROW()-1&lt;=$L$2+$M$2+$N$2,IFERROR(INDEX(CLOZE_LIST!$A:$K,ROW()-1-$L$2-$M$2+1,6),""),IF(ROW()-1&lt;=$L$2+$M$2+$N$2+$O$2,IFERROR(INDEX(PROFORMA!$A:$K,ROW()-1-$L$2-$M$2-$N$2+1,6),""),"")))))</f>
        <v>3</v>
      </c>
      <c r="G71" s="3" t="str">
        <f>IF(ROW()-1&lt;=0,"",IF(ROW()-1&lt;=$L$2,IFERROR(INDEX(MCQ!$A:$K,ROW()-1+1,7),""),IF(ROW()-1&lt;=$L$2+$M$2,IFERROR(INDEX(CLOZE_AB!$A:$K,ROW()-1-$L$2+1,7),""),IF(ROW()-1&lt;=$L$2+$M$2+$N$2,IFERROR(INDEX(CLOZE_LIST!$A:$K,ROW()-1-$L$2-$M$2+1,7),""),IF(ROW()-1&lt;=$L$2+$M$2+$N$2+$O$2,IFERROR(INDEX(PROFORMA!$A:$K,ROW()-1-$L$2-$M$2-$N$2+1,7),""),"")))))</f>
        <v>core</v>
      </c>
      <c r="H71" s="3" t="str">
        <f>IF(ROW()-1&lt;=0,"",IF(ROW()-1&lt;=$L$2,IFERROR(INDEX(MCQ!$A:$K,ROW()-1+1,8),""),IF(ROW()-1&lt;=$L$2+$M$2,IFERROR(INDEX(CLOZE_AB!$A:$K,ROW()-1-$L$2+1,8),""),IF(ROW()-1&lt;=$L$2+$M$2+$N$2,IFERROR(INDEX(CLOZE_LIST!$A:$K,ROW()-1-$L$2-$M$2+1,8),""),IF(ROW()-1&lt;=$L$2+$M$2+$N$2+$O$2,IFERROR(INDEX(PROFORMA!$A:$K,ROW()-1-$L$2-$M$2-$N$2+1,8),""),"")))))</f>
        <v>Y</v>
      </c>
      <c r="I71" s="3" t="str">
        <f>IF(ROW()-1&lt;=0,"",IF(ROW()-1&lt;=$L$2,IFERROR(INDEX(MCQ!$A:$K,ROW()-1+1,9),""),IF(ROW()-1&lt;=$L$2+$M$2,IFERROR(INDEX(CLOZE_AB!$A:$K,ROW()-1-$L$2+1,9),""),IF(ROW()-1&lt;=$L$2+$M$2+$N$2,IFERROR(INDEX(CLOZE_LIST!$A:$K,ROW()-1-$L$2-$M$2+1,9),""),IF(ROW()-1&lt;=$L$2+$M$2+$N$2+$O$2,IFERROR(INDEX(PROFORMA!$A:$K,ROW()-1-$L$2-$M$2-$N$2+1,9),""),"")))))</f>
        <v>deadlines;claims</v>
      </c>
      <c r="J71" s="3" t="str">
        <f>IF(ROW()-1&lt;=0,"",IF(ROW()-1&lt;=$L$2,IFERROR(INDEX(MCQ!$A:$K,ROW()-1+1,10),""),IF(ROW()-1&lt;=$L$2+$M$2,IFERROR(INDEX(CLOZE_AB!$A:$K,ROW()-1-$L$2+1,10),""),IF(ROW()-1&lt;=$L$2+$M$2+$N$2,IFERROR(INDEX(CLOZE_LIST!$A:$K,ROW()-1-$L$2-$M$2+1,10),""),IF(ROW()-1&lt;=$L$2+$M$2+$N$2+$O$2,IFERROR(INDEX(PROFORMA!$A:$K,ROW()-1-$L$2-$M$2-$N$2+1,10),""),"")))))</f>
        <v>user_supplied</v>
      </c>
      <c r="K71" s="3">
        <f>IF(ROW()-1&lt;=0,"",IF(ROW()-1&lt;=$L$2,IFERROR(INDEX(MCQ!$A:$K,ROW()-1+1,11),""),IF(ROW()-1&lt;=$L$2+$M$2,IFERROR(INDEX(CLOZE_AB!$A:$K,ROW()-1-$L$2+1,11),""),IF(ROW()-1&lt;=$L$2+$M$2+$N$2,IFERROR(INDEX(CLOZE_LIST!$A:$K,ROW()-1-$L$2-$M$2+1,11),""),IF(ROW()-1&lt;=$L$2+$M$2+$N$2+$O$2,IFERROR(INDEX(PROFORMA!$A:$K,ROW()-1-$L$2-$M$2-$N$2+1,11),""),"")))))</f>
        <v>1</v>
      </c>
      <c r="L71" s="3">
        <f>COUNTA(MCQ!$A:$A)-1</f>
        <v>122</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MCQ_FR_FILE_TAXDEAD_005</v>
      </c>
      <c r="B72" s="3" t="str">
        <f>IF(ROW()-1&lt;=0,"",IF(ROW()-1&lt;=$L$2,IFERROR(INDEX(MCQ!$A:$K,ROW()-1+1,2),""),IF(ROW()-1&lt;=$L$2+$M$2,IFERROR(INDEX(CLOZE_AB!$A:$K,ROW()-1-$L$2+1,2),""),IF(ROW()-1&lt;=$L$2+$M$2+$N$2,IFERROR(INDEX(CLOZE_LIST!$A:$K,ROW()-1-$L$2-$M$2+1,2),""),IF(ROW()-1&lt;=$L$2+$M$2+$N$2+$O$2,IFERROR(INDEX(PROFORMA!$A:$K,ROW()-1-$L$2-$M$2-$N$2+1,2),""),"")))))</f>
        <v>Filing rules</v>
      </c>
      <c r="C72" s="3" t="str">
        <f>IF(ROW()-1&lt;=0,"",IF(ROW()-1&lt;=$L$2,IFERROR(INDEX(MCQ!$A:$K,ROW()-1+1,3),""),IF(ROW()-1&lt;=$L$2+$M$2,IFERROR(INDEX(CLOZE_AB!$A:$K,ROW()-1-$L$2+1,3),""),IF(ROW()-1&lt;=$L$2+$M$2+$N$2,IFERROR(INDEX(CLOZE_LIST!$A:$K,ROW()-1-$L$2-$M$2+1,3),""),IF(ROW()-1&lt;=$L$2+$M$2+$N$2+$O$2,IFERROR(INDEX(PROFORMA!$A:$K,ROW()-1-$L$2-$M$2-$N$2+1,3),""),"")))))</f>
        <v>filing_requirements</v>
      </c>
      <c r="D72" s="3" t="str">
        <f>IF(ROW()-1&lt;=0,"",IF(ROW()-1&lt;=$L$2,IFERROR(INDEX(MCQ!$A:$K,ROW()-1+1,4),""),IF(ROW()-1&lt;=$L$2+$M$2,IFERROR(INDEX(CLOZE_AB!$A:$K,ROW()-1-$L$2+1,4),""),IF(ROW()-1&lt;=$L$2+$M$2+$N$2,IFERROR(INDEX(CLOZE_LIST!$A:$K,ROW()-1-$L$2-$M$2+1,4),""),IF(ROW()-1&lt;=$L$2+$M$2+$N$2+$O$2,IFERROR(INDEX(PROFORMA!$A:$K,ROW()-1-$L$2-$M$2-$N$2+1,4),""),"")))))</f>
        <v>Filing, payment and claims deadlines</v>
      </c>
      <c r="E72" s="3" t="str">
        <f>IF(ROW()-1&lt;=0,"",IF(ROW()-1&lt;=$L$2,IFERROR(INDEX(MCQ!$A:$K,ROW()-1+1,5),""),IF(ROW()-1&lt;=$L$2+$M$2,IFERROR(INDEX(CLOZE_AB!$A:$K,ROW()-1-$L$2+1,5),""),IF(ROW()-1&lt;=$L$2+$M$2+$N$2,IFERROR(INDEX(CLOZE_LIST!$A:$K,ROW()-1-$L$2-$M$2+1,5),""),IF(ROW()-1&lt;=$L$2+$M$2+$N$2+$O$2,IFERROR(INDEX(PROFORMA!$A:$K,ROW()-1-$L$2-$M$2-$N$2+1,5),""),"")))))</f>
        <v>mcq_radio</v>
      </c>
      <c r="F72" s="3">
        <f>IF(ROW()-1&lt;=0,"",IF(ROW()-1&lt;=$L$2,IFERROR(INDEX(MCQ!$A:$K,ROW()-1+1,6),""),IF(ROW()-1&lt;=$L$2+$M$2,IFERROR(INDEX(CLOZE_AB!$A:$K,ROW()-1-$L$2+1,6),""),IF(ROW()-1&lt;=$L$2+$M$2+$N$2,IFERROR(INDEX(CLOZE_LIST!$A:$K,ROW()-1-$L$2-$M$2+1,6),""),IF(ROW()-1&lt;=$L$2+$M$2+$N$2+$O$2,IFERROR(INDEX(PROFORMA!$A:$K,ROW()-1-$L$2-$M$2-$N$2+1,6),""),"")))))</f>
        <v>3</v>
      </c>
      <c r="G72" s="3" t="str">
        <f>IF(ROW()-1&lt;=0,"",IF(ROW()-1&lt;=$L$2,IFERROR(INDEX(MCQ!$A:$K,ROW()-1+1,7),""),IF(ROW()-1&lt;=$L$2+$M$2,IFERROR(INDEX(CLOZE_AB!$A:$K,ROW()-1-$L$2+1,7),""),IF(ROW()-1&lt;=$L$2+$M$2+$N$2,IFERROR(INDEX(CLOZE_LIST!$A:$K,ROW()-1-$L$2-$M$2+1,7),""),IF(ROW()-1&lt;=$L$2+$M$2+$N$2+$O$2,IFERROR(INDEX(PROFORMA!$A:$K,ROW()-1-$L$2-$M$2-$N$2+1,7),""),"")))))</f>
        <v>core</v>
      </c>
      <c r="H72" s="3" t="str">
        <f>IF(ROW()-1&lt;=0,"",IF(ROW()-1&lt;=$L$2,IFERROR(INDEX(MCQ!$A:$K,ROW()-1+1,8),""),IF(ROW()-1&lt;=$L$2+$M$2,IFERROR(INDEX(CLOZE_AB!$A:$K,ROW()-1-$L$2+1,8),""),IF(ROW()-1&lt;=$L$2+$M$2+$N$2,IFERROR(INDEX(CLOZE_LIST!$A:$K,ROW()-1-$L$2-$M$2+1,8),""),IF(ROW()-1&lt;=$L$2+$M$2+$N$2+$O$2,IFERROR(INDEX(PROFORMA!$A:$K,ROW()-1-$L$2-$M$2-$N$2+1,8),""),"")))))</f>
        <v>Y</v>
      </c>
      <c r="I72" s="3" t="str">
        <f>IF(ROW()-1&lt;=0,"",IF(ROW()-1&lt;=$L$2,IFERROR(INDEX(MCQ!$A:$K,ROW()-1+1,9),""),IF(ROW()-1&lt;=$L$2+$M$2,IFERROR(INDEX(CLOZE_AB!$A:$K,ROW()-1-$L$2+1,9),""),IF(ROW()-1&lt;=$L$2+$M$2+$N$2,IFERROR(INDEX(CLOZE_LIST!$A:$K,ROW()-1-$L$2-$M$2+1,9),""),IF(ROW()-1&lt;=$L$2+$M$2+$N$2+$O$2,IFERROR(INDEX(PROFORMA!$A:$K,ROW()-1-$L$2-$M$2-$N$2+1,9),""),"")))))</f>
        <v>deadlines;claims</v>
      </c>
      <c r="J72" s="3" t="str">
        <f>IF(ROW()-1&lt;=0,"",IF(ROW()-1&lt;=$L$2,IFERROR(INDEX(MCQ!$A:$K,ROW()-1+1,10),""),IF(ROW()-1&lt;=$L$2+$M$2,IFERROR(INDEX(CLOZE_AB!$A:$K,ROW()-1-$L$2+1,10),""),IF(ROW()-1&lt;=$L$2+$M$2+$N$2,IFERROR(INDEX(CLOZE_LIST!$A:$K,ROW()-1-$L$2-$M$2+1,10),""),IF(ROW()-1&lt;=$L$2+$M$2+$N$2+$O$2,IFERROR(INDEX(PROFORMA!$A:$K,ROW()-1-$L$2-$M$2-$N$2+1,10),""),"")))))</f>
        <v>user_supplied</v>
      </c>
      <c r="K72" s="3">
        <f>IF(ROW()-1&lt;=0,"",IF(ROW()-1&lt;=$L$2,IFERROR(INDEX(MCQ!$A:$K,ROW()-1+1,11),""),IF(ROW()-1&lt;=$L$2+$M$2,IFERROR(INDEX(CLOZE_AB!$A:$K,ROW()-1-$L$2+1,11),""),IF(ROW()-1&lt;=$L$2+$M$2+$N$2,IFERROR(INDEX(CLOZE_LIST!$A:$K,ROW()-1-$L$2-$M$2+1,11),""),IF(ROW()-1&lt;=$L$2+$M$2+$N$2+$O$2,IFERROR(INDEX(PROFORMA!$A:$K,ROW()-1-$L$2-$M$2-$N$2+1,11),""),"")))))</f>
        <v>1</v>
      </c>
      <c r="L72" s="3">
        <f>COUNTA(MCQ!$A:$A)-1</f>
        <v>122</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MCQ_FR_FILE_TAXDEAD_006</v>
      </c>
      <c r="B73" s="3" t="str">
        <f>IF(ROW()-1&lt;=0,"",IF(ROW()-1&lt;=$L$2,IFERROR(INDEX(MCQ!$A:$K,ROW()-1+1,2),""),IF(ROW()-1&lt;=$L$2+$M$2,IFERROR(INDEX(CLOZE_AB!$A:$K,ROW()-1-$L$2+1,2),""),IF(ROW()-1&lt;=$L$2+$M$2+$N$2,IFERROR(INDEX(CLOZE_LIST!$A:$K,ROW()-1-$L$2-$M$2+1,2),""),IF(ROW()-1&lt;=$L$2+$M$2+$N$2+$O$2,IFERROR(INDEX(PROFORMA!$A:$K,ROW()-1-$L$2-$M$2-$N$2+1,2),""),"")))))</f>
        <v>Filing rules</v>
      </c>
      <c r="C73" s="3" t="str">
        <f>IF(ROW()-1&lt;=0,"",IF(ROW()-1&lt;=$L$2,IFERROR(INDEX(MCQ!$A:$K,ROW()-1+1,3),""),IF(ROW()-1&lt;=$L$2+$M$2,IFERROR(INDEX(CLOZE_AB!$A:$K,ROW()-1-$L$2+1,3),""),IF(ROW()-1&lt;=$L$2+$M$2+$N$2,IFERROR(INDEX(CLOZE_LIST!$A:$K,ROW()-1-$L$2-$M$2+1,3),""),IF(ROW()-1&lt;=$L$2+$M$2+$N$2+$O$2,IFERROR(INDEX(PROFORMA!$A:$K,ROW()-1-$L$2-$M$2-$N$2+1,3),""),"")))))</f>
        <v>filing_requirements</v>
      </c>
      <c r="D73" s="3" t="str">
        <f>IF(ROW()-1&lt;=0,"",IF(ROW()-1&lt;=$L$2,IFERROR(INDEX(MCQ!$A:$K,ROW()-1+1,4),""),IF(ROW()-1&lt;=$L$2+$M$2,IFERROR(INDEX(CLOZE_AB!$A:$K,ROW()-1-$L$2+1,4),""),IF(ROW()-1&lt;=$L$2+$M$2+$N$2,IFERROR(INDEX(CLOZE_LIST!$A:$K,ROW()-1-$L$2-$M$2+1,4),""),IF(ROW()-1&lt;=$L$2+$M$2+$N$2+$O$2,IFERROR(INDEX(PROFORMA!$A:$K,ROW()-1-$L$2-$M$2-$N$2+1,4),""),"")))))</f>
        <v>Filing, payment and claims deadlines</v>
      </c>
      <c r="E73" s="3" t="str">
        <f>IF(ROW()-1&lt;=0,"",IF(ROW()-1&lt;=$L$2,IFERROR(INDEX(MCQ!$A:$K,ROW()-1+1,5),""),IF(ROW()-1&lt;=$L$2+$M$2,IFERROR(INDEX(CLOZE_AB!$A:$K,ROW()-1-$L$2+1,5),""),IF(ROW()-1&lt;=$L$2+$M$2+$N$2,IFERROR(INDEX(CLOZE_LIST!$A:$K,ROW()-1-$L$2-$M$2+1,5),""),IF(ROW()-1&lt;=$L$2+$M$2+$N$2+$O$2,IFERROR(INDEX(PROFORMA!$A:$K,ROW()-1-$L$2-$M$2-$N$2+1,5),""),"")))))</f>
        <v>mcq_radio</v>
      </c>
      <c r="F73" s="3">
        <f>IF(ROW()-1&lt;=0,"",IF(ROW()-1&lt;=$L$2,IFERROR(INDEX(MCQ!$A:$K,ROW()-1+1,6),""),IF(ROW()-1&lt;=$L$2+$M$2,IFERROR(INDEX(CLOZE_AB!$A:$K,ROW()-1-$L$2+1,6),""),IF(ROW()-1&lt;=$L$2+$M$2+$N$2,IFERROR(INDEX(CLOZE_LIST!$A:$K,ROW()-1-$L$2-$M$2+1,6),""),IF(ROW()-1&lt;=$L$2+$M$2+$N$2+$O$2,IFERROR(INDEX(PROFORMA!$A:$K,ROW()-1-$L$2-$M$2-$N$2+1,6),""),"")))))</f>
        <v>3</v>
      </c>
      <c r="G73" s="3" t="str">
        <f>IF(ROW()-1&lt;=0,"",IF(ROW()-1&lt;=$L$2,IFERROR(INDEX(MCQ!$A:$K,ROW()-1+1,7),""),IF(ROW()-1&lt;=$L$2+$M$2,IFERROR(INDEX(CLOZE_AB!$A:$K,ROW()-1-$L$2+1,7),""),IF(ROW()-1&lt;=$L$2+$M$2+$N$2,IFERROR(INDEX(CLOZE_LIST!$A:$K,ROW()-1-$L$2-$M$2+1,7),""),IF(ROW()-1&lt;=$L$2+$M$2+$N$2+$O$2,IFERROR(INDEX(PROFORMA!$A:$K,ROW()-1-$L$2-$M$2-$N$2+1,7),""),"")))))</f>
        <v>core</v>
      </c>
      <c r="H73" s="3" t="str">
        <f>IF(ROW()-1&lt;=0,"",IF(ROW()-1&lt;=$L$2,IFERROR(INDEX(MCQ!$A:$K,ROW()-1+1,8),""),IF(ROW()-1&lt;=$L$2+$M$2,IFERROR(INDEX(CLOZE_AB!$A:$K,ROW()-1-$L$2+1,8),""),IF(ROW()-1&lt;=$L$2+$M$2+$N$2,IFERROR(INDEX(CLOZE_LIST!$A:$K,ROW()-1-$L$2-$M$2+1,8),""),IF(ROW()-1&lt;=$L$2+$M$2+$N$2+$O$2,IFERROR(INDEX(PROFORMA!$A:$K,ROW()-1-$L$2-$M$2-$N$2+1,8),""),"")))))</f>
        <v>Y</v>
      </c>
      <c r="I73" s="3" t="str">
        <f>IF(ROW()-1&lt;=0,"",IF(ROW()-1&lt;=$L$2,IFERROR(INDEX(MCQ!$A:$K,ROW()-1+1,9),""),IF(ROW()-1&lt;=$L$2+$M$2,IFERROR(INDEX(CLOZE_AB!$A:$K,ROW()-1-$L$2+1,9),""),IF(ROW()-1&lt;=$L$2+$M$2+$N$2,IFERROR(INDEX(CLOZE_LIST!$A:$K,ROW()-1-$L$2-$M$2+1,9),""),IF(ROW()-1&lt;=$L$2+$M$2+$N$2+$O$2,IFERROR(INDEX(PROFORMA!$A:$K,ROW()-1-$L$2-$M$2-$N$2+1,9),""),"")))))</f>
        <v>deadlines;claims</v>
      </c>
      <c r="J73" s="3" t="str">
        <f>IF(ROW()-1&lt;=0,"",IF(ROW()-1&lt;=$L$2,IFERROR(INDEX(MCQ!$A:$K,ROW()-1+1,10),""),IF(ROW()-1&lt;=$L$2+$M$2,IFERROR(INDEX(CLOZE_AB!$A:$K,ROW()-1-$L$2+1,10),""),IF(ROW()-1&lt;=$L$2+$M$2+$N$2,IFERROR(INDEX(CLOZE_LIST!$A:$K,ROW()-1-$L$2-$M$2+1,10),""),IF(ROW()-1&lt;=$L$2+$M$2+$N$2+$O$2,IFERROR(INDEX(PROFORMA!$A:$K,ROW()-1-$L$2-$M$2-$N$2+1,10),""),"")))))</f>
        <v>user_supplied</v>
      </c>
      <c r="K73" s="3">
        <f>IF(ROW()-1&lt;=0,"",IF(ROW()-1&lt;=$L$2,IFERROR(INDEX(MCQ!$A:$K,ROW()-1+1,11),""),IF(ROW()-1&lt;=$L$2+$M$2,IFERROR(INDEX(CLOZE_AB!$A:$K,ROW()-1-$L$2+1,11),""),IF(ROW()-1&lt;=$L$2+$M$2+$N$2,IFERROR(INDEX(CLOZE_LIST!$A:$K,ROW()-1-$L$2-$M$2+1,11),""),IF(ROW()-1&lt;=$L$2+$M$2+$N$2+$O$2,IFERROR(INDEX(PROFORMA!$A:$K,ROW()-1-$L$2-$M$2-$N$2+1,11),""),"")))))</f>
        <v>1</v>
      </c>
      <c r="L73" s="3">
        <f>COUNTA(MCQ!$A:$A)-1</f>
        <v>122</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MCQ_FR_FILE_TAXDEAD_007</v>
      </c>
      <c r="B74" s="3" t="str">
        <f>IF(ROW()-1&lt;=0,"",IF(ROW()-1&lt;=$L$2,IFERROR(INDEX(MCQ!$A:$K,ROW()-1+1,2),""),IF(ROW()-1&lt;=$L$2+$M$2,IFERROR(INDEX(CLOZE_AB!$A:$K,ROW()-1-$L$2+1,2),""),IF(ROW()-1&lt;=$L$2+$M$2+$N$2,IFERROR(INDEX(CLOZE_LIST!$A:$K,ROW()-1-$L$2-$M$2+1,2),""),IF(ROW()-1&lt;=$L$2+$M$2+$N$2+$O$2,IFERROR(INDEX(PROFORMA!$A:$K,ROW()-1-$L$2-$M$2-$N$2+1,2),""),"")))))</f>
        <v>Filing rules</v>
      </c>
      <c r="C74" s="3" t="str">
        <f>IF(ROW()-1&lt;=0,"",IF(ROW()-1&lt;=$L$2,IFERROR(INDEX(MCQ!$A:$K,ROW()-1+1,3),""),IF(ROW()-1&lt;=$L$2+$M$2,IFERROR(INDEX(CLOZE_AB!$A:$K,ROW()-1-$L$2+1,3),""),IF(ROW()-1&lt;=$L$2+$M$2+$N$2,IFERROR(INDEX(CLOZE_LIST!$A:$K,ROW()-1-$L$2-$M$2+1,3),""),IF(ROW()-1&lt;=$L$2+$M$2+$N$2+$O$2,IFERROR(INDEX(PROFORMA!$A:$K,ROW()-1-$L$2-$M$2-$N$2+1,3),""),"")))))</f>
        <v>filing_requirements</v>
      </c>
      <c r="D74" s="3" t="str">
        <f>IF(ROW()-1&lt;=0,"",IF(ROW()-1&lt;=$L$2,IFERROR(INDEX(MCQ!$A:$K,ROW()-1+1,4),""),IF(ROW()-1&lt;=$L$2+$M$2,IFERROR(INDEX(CLOZE_AB!$A:$K,ROW()-1-$L$2+1,4),""),IF(ROW()-1&lt;=$L$2+$M$2+$N$2,IFERROR(INDEX(CLOZE_LIST!$A:$K,ROW()-1-$L$2-$M$2+1,4),""),IF(ROW()-1&lt;=$L$2+$M$2+$N$2+$O$2,IFERROR(INDEX(PROFORMA!$A:$K,ROW()-1-$L$2-$M$2-$N$2+1,4),""),"")))))</f>
        <v>Filing, payment and claims deadlines</v>
      </c>
      <c r="E74" s="3" t="str">
        <f>IF(ROW()-1&lt;=0,"",IF(ROW()-1&lt;=$L$2,IFERROR(INDEX(MCQ!$A:$K,ROW()-1+1,5),""),IF(ROW()-1&lt;=$L$2+$M$2,IFERROR(INDEX(CLOZE_AB!$A:$K,ROW()-1-$L$2+1,5),""),IF(ROW()-1&lt;=$L$2+$M$2+$N$2,IFERROR(INDEX(CLOZE_LIST!$A:$K,ROW()-1-$L$2-$M$2+1,5),""),IF(ROW()-1&lt;=$L$2+$M$2+$N$2+$O$2,IFERROR(INDEX(PROFORMA!$A:$K,ROW()-1-$L$2-$M$2-$N$2+1,5),""),"")))))</f>
        <v>mcq_radio</v>
      </c>
      <c r="F74" s="3">
        <f>IF(ROW()-1&lt;=0,"",IF(ROW()-1&lt;=$L$2,IFERROR(INDEX(MCQ!$A:$K,ROW()-1+1,6),""),IF(ROW()-1&lt;=$L$2+$M$2,IFERROR(INDEX(CLOZE_AB!$A:$K,ROW()-1-$L$2+1,6),""),IF(ROW()-1&lt;=$L$2+$M$2+$N$2,IFERROR(INDEX(CLOZE_LIST!$A:$K,ROW()-1-$L$2-$M$2+1,6),""),IF(ROW()-1&lt;=$L$2+$M$2+$N$2+$O$2,IFERROR(INDEX(PROFORMA!$A:$K,ROW()-1-$L$2-$M$2-$N$2+1,6),""),"")))))</f>
        <v>3</v>
      </c>
      <c r="G74" s="3" t="str">
        <f>IF(ROW()-1&lt;=0,"",IF(ROW()-1&lt;=$L$2,IFERROR(INDEX(MCQ!$A:$K,ROW()-1+1,7),""),IF(ROW()-1&lt;=$L$2+$M$2,IFERROR(INDEX(CLOZE_AB!$A:$K,ROW()-1-$L$2+1,7),""),IF(ROW()-1&lt;=$L$2+$M$2+$N$2,IFERROR(INDEX(CLOZE_LIST!$A:$K,ROW()-1-$L$2-$M$2+1,7),""),IF(ROW()-1&lt;=$L$2+$M$2+$N$2+$O$2,IFERROR(INDEX(PROFORMA!$A:$K,ROW()-1-$L$2-$M$2-$N$2+1,7),""),"")))))</f>
        <v>core</v>
      </c>
      <c r="H74" s="3" t="str">
        <f>IF(ROW()-1&lt;=0,"",IF(ROW()-1&lt;=$L$2,IFERROR(INDEX(MCQ!$A:$K,ROW()-1+1,8),""),IF(ROW()-1&lt;=$L$2+$M$2,IFERROR(INDEX(CLOZE_AB!$A:$K,ROW()-1-$L$2+1,8),""),IF(ROW()-1&lt;=$L$2+$M$2+$N$2,IFERROR(INDEX(CLOZE_LIST!$A:$K,ROW()-1-$L$2-$M$2+1,8),""),IF(ROW()-1&lt;=$L$2+$M$2+$N$2+$O$2,IFERROR(INDEX(PROFORMA!$A:$K,ROW()-1-$L$2-$M$2-$N$2+1,8),""),"")))))</f>
        <v>Y</v>
      </c>
      <c r="I74" s="3" t="str">
        <f>IF(ROW()-1&lt;=0,"",IF(ROW()-1&lt;=$L$2,IFERROR(INDEX(MCQ!$A:$K,ROW()-1+1,9),""),IF(ROW()-1&lt;=$L$2+$M$2,IFERROR(INDEX(CLOZE_AB!$A:$K,ROW()-1-$L$2+1,9),""),IF(ROW()-1&lt;=$L$2+$M$2+$N$2,IFERROR(INDEX(CLOZE_LIST!$A:$K,ROW()-1-$L$2-$M$2+1,9),""),IF(ROW()-1&lt;=$L$2+$M$2+$N$2+$O$2,IFERROR(INDEX(PROFORMA!$A:$K,ROW()-1-$L$2-$M$2-$N$2+1,9),""),"")))))</f>
        <v>deadlines;claims</v>
      </c>
      <c r="J74" s="3" t="str">
        <f>IF(ROW()-1&lt;=0,"",IF(ROW()-1&lt;=$L$2,IFERROR(INDEX(MCQ!$A:$K,ROW()-1+1,10),""),IF(ROW()-1&lt;=$L$2+$M$2,IFERROR(INDEX(CLOZE_AB!$A:$K,ROW()-1-$L$2+1,10),""),IF(ROW()-1&lt;=$L$2+$M$2+$N$2,IFERROR(INDEX(CLOZE_LIST!$A:$K,ROW()-1-$L$2-$M$2+1,10),""),IF(ROW()-1&lt;=$L$2+$M$2+$N$2+$O$2,IFERROR(INDEX(PROFORMA!$A:$K,ROW()-1-$L$2-$M$2-$N$2+1,10),""),"")))))</f>
        <v>user_supplied</v>
      </c>
      <c r="K74" s="3">
        <f>IF(ROW()-1&lt;=0,"",IF(ROW()-1&lt;=$L$2,IFERROR(INDEX(MCQ!$A:$K,ROW()-1+1,11),""),IF(ROW()-1&lt;=$L$2+$M$2,IFERROR(INDEX(CLOZE_AB!$A:$K,ROW()-1-$L$2+1,11),""),IF(ROW()-1&lt;=$L$2+$M$2+$N$2,IFERROR(INDEX(CLOZE_LIST!$A:$K,ROW()-1-$L$2-$M$2+1,11),""),IF(ROW()-1&lt;=$L$2+$M$2+$N$2+$O$2,IFERROR(INDEX(PROFORMA!$A:$K,ROW()-1-$L$2-$M$2-$N$2+1,11),""),"")))))</f>
        <v>1</v>
      </c>
      <c r="L74" s="3">
        <f>COUNTA(MCQ!$A:$A)-1</f>
        <v>122</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MCQ_FR_FILE_TAXDEAD_008</v>
      </c>
      <c r="B75" s="3" t="str">
        <f>IF(ROW()-1&lt;=0,"",IF(ROW()-1&lt;=$L$2,IFERROR(INDEX(MCQ!$A:$K,ROW()-1+1,2),""),IF(ROW()-1&lt;=$L$2+$M$2,IFERROR(INDEX(CLOZE_AB!$A:$K,ROW()-1-$L$2+1,2),""),IF(ROW()-1&lt;=$L$2+$M$2+$N$2,IFERROR(INDEX(CLOZE_LIST!$A:$K,ROW()-1-$L$2-$M$2+1,2),""),IF(ROW()-1&lt;=$L$2+$M$2+$N$2+$O$2,IFERROR(INDEX(PROFORMA!$A:$K,ROW()-1-$L$2-$M$2-$N$2+1,2),""),"")))))</f>
        <v>Filing rules</v>
      </c>
      <c r="C75" s="3" t="str">
        <f>IF(ROW()-1&lt;=0,"",IF(ROW()-1&lt;=$L$2,IFERROR(INDEX(MCQ!$A:$K,ROW()-1+1,3),""),IF(ROW()-1&lt;=$L$2+$M$2,IFERROR(INDEX(CLOZE_AB!$A:$K,ROW()-1-$L$2+1,3),""),IF(ROW()-1&lt;=$L$2+$M$2+$N$2,IFERROR(INDEX(CLOZE_LIST!$A:$K,ROW()-1-$L$2-$M$2+1,3),""),IF(ROW()-1&lt;=$L$2+$M$2+$N$2+$O$2,IFERROR(INDEX(PROFORMA!$A:$K,ROW()-1-$L$2-$M$2-$N$2+1,3),""),"")))))</f>
        <v>filing_requirements</v>
      </c>
      <c r="D75" s="3" t="str">
        <f>IF(ROW()-1&lt;=0,"",IF(ROW()-1&lt;=$L$2,IFERROR(INDEX(MCQ!$A:$K,ROW()-1+1,4),""),IF(ROW()-1&lt;=$L$2+$M$2,IFERROR(INDEX(CLOZE_AB!$A:$K,ROW()-1-$L$2+1,4),""),IF(ROW()-1&lt;=$L$2+$M$2+$N$2,IFERROR(INDEX(CLOZE_LIST!$A:$K,ROW()-1-$L$2-$M$2+1,4),""),IF(ROW()-1&lt;=$L$2+$M$2+$N$2+$O$2,IFERROR(INDEX(PROFORMA!$A:$K,ROW()-1-$L$2-$M$2-$N$2+1,4),""),"")))))</f>
        <v>Filing, payment and claims deadlines</v>
      </c>
      <c r="E75" s="3" t="str">
        <f>IF(ROW()-1&lt;=0,"",IF(ROW()-1&lt;=$L$2,IFERROR(INDEX(MCQ!$A:$K,ROW()-1+1,5),""),IF(ROW()-1&lt;=$L$2+$M$2,IFERROR(INDEX(CLOZE_AB!$A:$K,ROW()-1-$L$2+1,5),""),IF(ROW()-1&lt;=$L$2+$M$2+$N$2,IFERROR(INDEX(CLOZE_LIST!$A:$K,ROW()-1-$L$2-$M$2+1,5),""),IF(ROW()-1&lt;=$L$2+$M$2+$N$2+$O$2,IFERROR(INDEX(PROFORMA!$A:$K,ROW()-1-$L$2-$M$2-$N$2+1,5),""),"")))))</f>
        <v>mcq_radio</v>
      </c>
      <c r="F75" s="3">
        <f>IF(ROW()-1&lt;=0,"",IF(ROW()-1&lt;=$L$2,IFERROR(INDEX(MCQ!$A:$K,ROW()-1+1,6),""),IF(ROW()-1&lt;=$L$2+$M$2,IFERROR(INDEX(CLOZE_AB!$A:$K,ROW()-1-$L$2+1,6),""),IF(ROW()-1&lt;=$L$2+$M$2+$N$2,IFERROR(INDEX(CLOZE_LIST!$A:$K,ROW()-1-$L$2-$M$2+1,6),""),IF(ROW()-1&lt;=$L$2+$M$2+$N$2+$O$2,IFERROR(INDEX(PROFORMA!$A:$K,ROW()-1-$L$2-$M$2-$N$2+1,6),""),"")))))</f>
        <v>3</v>
      </c>
      <c r="G75" s="3" t="str">
        <f>IF(ROW()-1&lt;=0,"",IF(ROW()-1&lt;=$L$2,IFERROR(INDEX(MCQ!$A:$K,ROW()-1+1,7),""),IF(ROW()-1&lt;=$L$2+$M$2,IFERROR(INDEX(CLOZE_AB!$A:$K,ROW()-1-$L$2+1,7),""),IF(ROW()-1&lt;=$L$2+$M$2+$N$2,IFERROR(INDEX(CLOZE_LIST!$A:$K,ROW()-1-$L$2-$M$2+1,7),""),IF(ROW()-1&lt;=$L$2+$M$2+$N$2+$O$2,IFERROR(INDEX(PROFORMA!$A:$K,ROW()-1-$L$2-$M$2-$N$2+1,7),""),"")))))</f>
        <v>core</v>
      </c>
      <c r="H75" s="3" t="str">
        <f>IF(ROW()-1&lt;=0,"",IF(ROW()-1&lt;=$L$2,IFERROR(INDEX(MCQ!$A:$K,ROW()-1+1,8),""),IF(ROW()-1&lt;=$L$2+$M$2,IFERROR(INDEX(CLOZE_AB!$A:$K,ROW()-1-$L$2+1,8),""),IF(ROW()-1&lt;=$L$2+$M$2+$N$2,IFERROR(INDEX(CLOZE_LIST!$A:$K,ROW()-1-$L$2-$M$2+1,8),""),IF(ROW()-1&lt;=$L$2+$M$2+$N$2+$O$2,IFERROR(INDEX(PROFORMA!$A:$K,ROW()-1-$L$2-$M$2-$N$2+1,8),""),"")))))</f>
        <v>Y</v>
      </c>
      <c r="I75" s="3" t="str">
        <f>IF(ROW()-1&lt;=0,"",IF(ROW()-1&lt;=$L$2,IFERROR(INDEX(MCQ!$A:$K,ROW()-1+1,9),""),IF(ROW()-1&lt;=$L$2+$M$2,IFERROR(INDEX(CLOZE_AB!$A:$K,ROW()-1-$L$2+1,9),""),IF(ROW()-1&lt;=$L$2+$M$2+$N$2,IFERROR(INDEX(CLOZE_LIST!$A:$K,ROW()-1-$L$2-$M$2+1,9),""),IF(ROW()-1&lt;=$L$2+$M$2+$N$2+$O$2,IFERROR(INDEX(PROFORMA!$A:$K,ROW()-1-$L$2-$M$2-$N$2+1,9),""),"")))))</f>
        <v>deadlines;claims</v>
      </c>
      <c r="J75" s="3" t="str">
        <f>IF(ROW()-1&lt;=0,"",IF(ROW()-1&lt;=$L$2,IFERROR(INDEX(MCQ!$A:$K,ROW()-1+1,10),""),IF(ROW()-1&lt;=$L$2+$M$2,IFERROR(INDEX(CLOZE_AB!$A:$K,ROW()-1-$L$2+1,10),""),IF(ROW()-1&lt;=$L$2+$M$2+$N$2,IFERROR(INDEX(CLOZE_LIST!$A:$K,ROW()-1-$L$2-$M$2+1,10),""),IF(ROW()-1&lt;=$L$2+$M$2+$N$2+$O$2,IFERROR(INDEX(PROFORMA!$A:$K,ROW()-1-$L$2-$M$2-$N$2+1,10),""),"")))))</f>
        <v>user_supplied</v>
      </c>
      <c r="K75" s="3">
        <f>IF(ROW()-1&lt;=0,"",IF(ROW()-1&lt;=$L$2,IFERROR(INDEX(MCQ!$A:$K,ROW()-1+1,11),""),IF(ROW()-1&lt;=$L$2+$M$2,IFERROR(INDEX(CLOZE_AB!$A:$K,ROW()-1-$L$2+1,11),""),IF(ROW()-1&lt;=$L$2+$M$2+$N$2,IFERROR(INDEX(CLOZE_LIST!$A:$K,ROW()-1-$L$2-$M$2+1,11),""),IF(ROW()-1&lt;=$L$2+$M$2+$N$2+$O$2,IFERROR(INDEX(PROFORMA!$A:$K,ROW()-1-$L$2-$M$2-$N$2+1,11),""),"")))))</f>
        <v>1</v>
      </c>
      <c r="L75" s="3">
        <f>COUNTA(MCQ!$A:$A)-1</f>
        <v>122</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MCQ_FR_FILE_TAXDEAD_009</v>
      </c>
      <c r="B76" s="3" t="str">
        <f>IF(ROW()-1&lt;=0,"",IF(ROW()-1&lt;=$L$2,IFERROR(INDEX(MCQ!$A:$K,ROW()-1+1,2),""),IF(ROW()-1&lt;=$L$2+$M$2,IFERROR(INDEX(CLOZE_AB!$A:$K,ROW()-1-$L$2+1,2),""),IF(ROW()-1&lt;=$L$2+$M$2+$N$2,IFERROR(INDEX(CLOZE_LIST!$A:$K,ROW()-1-$L$2-$M$2+1,2),""),IF(ROW()-1&lt;=$L$2+$M$2+$N$2+$O$2,IFERROR(INDEX(PROFORMA!$A:$K,ROW()-1-$L$2-$M$2-$N$2+1,2),""),"")))))</f>
        <v>Filing rules</v>
      </c>
      <c r="C76" s="3" t="str">
        <f>IF(ROW()-1&lt;=0,"",IF(ROW()-1&lt;=$L$2,IFERROR(INDEX(MCQ!$A:$K,ROW()-1+1,3),""),IF(ROW()-1&lt;=$L$2+$M$2,IFERROR(INDEX(CLOZE_AB!$A:$K,ROW()-1-$L$2+1,3),""),IF(ROW()-1&lt;=$L$2+$M$2+$N$2,IFERROR(INDEX(CLOZE_LIST!$A:$K,ROW()-1-$L$2-$M$2+1,3),""),IF(ROW()-1&lt;=$L$2+$M$2+$N$2+$O$2,IFERROR(INDEX(PROFORMA!$A:$K,ROW()-1-$L$2-$M$2-$N$2+1,3),""),"")))))</f>
        <v>filing_requirements</v>
      </c>
      <c r="D76" s="3" t="str">
        <f>IF(ROW()-1&lt;=0,"",IF(ROW()-1&lt;=$L$2,IFERROR(INDEX(MCQ!$A:$K,ROW()-1+1,4),""),IF(ROW()-1&lt;=$L$2+$M$2,IFERROR(INDEX(CLOZE_AB!$A:$K,ROW()-1-$L$2+1,4),""),IF(ROW()-1&lt;=$L$2+$M$2+$N$2,IFERROR(INDEX(CLOZE_LIST!$A:$K,ROW()-1-$L$2-$M$2+1,4),""),IF(ROW()-1&lt;=$L$2+$M$2+$N$2+$O$2,IFERROR(INDEX(PROFORMA!$A:$K,ROW()-1-$L$2-$M$2-$N$2+1,4),""),"")))))</f>
        <v>Filing, payment and claims deadlines</v>
      </c>
      <c r="E76" s="3" t="str">
        <f>IF(ROW()-1&lt;=0,"",IF(ROW()-1&lt;=$L$2,IFERROR(INDEX(MCQ!$A:$K,ROW()-1+1,5),""),IF(ROW()-1&lt;=$L$2+$M$2,IFERROR(INDEX(CLOZE_AB!$A:$K,ROW()-1-$L$2+1,5),""),IF(ROW()-1&lt;=$L$2+$M$2+$N$2,IFERROR(INDEX(CLOZE_LIST!$A:$K,ROW()-1-$L$2-$M$2+1,5),""),IF(ROW()-1&lt;=$L$2+$M$2+$N$2+$O$2,IFERROR(INDEX(PROFORMA!$A:$K,ROW()-1-$L$2-$M$2-$N$2+1,5),""),"")))))</f>
        <v>mcq_radio</v>
      </c>
      <c r="F76" s="3">
        <f>IF(ROW()-1&lt;=0,"",IF(ROW()-1&lt;=$L$2,IFERROR(INDEX(MCQ!$A:$K,ROW()-1+1,6),""),IF(ROW()-1&lt;=$L$2+$M$2,IFERROR(INDEX(CLOZE_AB!$A:$K,ROW()-1-$L$2+1,6),""),IF(ROW()-1&lt;=$L$2+$M$2+$N$2,IFERROR(INDEX(CLOZE_LIST!$A:$K,ROW()-1-$L$2-$M$2+1,6),""),IF(ROW()-1&lt;=$L$2+$M$2+$N$2+$O$2,IFERROR(INDEX(PROFORMA!$A:$K,ROW()-1-$L$2-$M$2-$N$2+1,6),""),"")))))</f>
        <v>3</v>
      </c>
      <c r="G76" s="3" t="str">
        <f>IF(ROW()-1&lt;=0,"",IF(ROW()-1&lt;=$L$2,IFERROR(INDEX(MCQ!$A:$K,ROW()-1+1,7),""),IF(ROW()-1&lt;=$L$2+$M$2,IFERROR(INDEX(CLOZE_AB!$A:$K,ROW()-1-$L$2+1,7),""),IF(ROW()-1&lt;=$L$2+$M$2+$N$2,IFERROR(INDEX(CLOZE_LIST!$A:$K,ROW()-1-$L$2-$M$2+1,7),""),IF(ROW()-1&lt;=$L$2+$M$2+$N$2+$O$2,IFERROR(INDEX(PROFORMA!$A:$K,ROW()-1-$L$2-$M$2-$N$2+1,7),""),"")))))</f>
        <v>core</v>
      </c>
      <c r="H76" s="3" t="str">
        <f>IF(ROW()-1&lt;=0,"",IF(ROW()-1&lt;=$L$2,IFERROR(INDEX(MCQ!$A:$K,ROW()-1+1,8),""),IF(ROW()-1&lt;=$L$2+$M$2,IFERROR(INDEX(CLOZE_AB!$A:$K,ROW()-1-$L$2+1,8),""),IF(ROW()-1&lt;=$L$2+$M$2+$N$2,IFERROR(INDEX(CLOZE_LIST!$A:$K,ROW()-1-$L$2-$M$2+1,8),""),IF(ROW()-1&lt;=$L$2+$M$2+$N$2+$O$2,IFERROR(INDEX(PROFORMA!$A:$K,ROW()-1-$L$2-$M$2-$N$2+1,8),""),"")))))</f>
        <v>Y</v>
      </c>
      <c r="I76" s="3" t="str">
        <f>IF(ROW()-1&lt;=0,"",IF(ROW()-1&lt;=$L$2,IFERROR(INDEX(MCQ!$A:$K,ROW()-1+1,9),""),IF(ROW()-1&lt;=$L$2+$M$2,IFERROR(INDEX(CLOZE_AB!$A:$K,ROW()-1-$L$2+1,9),""),IF(ROW()-1&lt;=$L$2+$M$2+$N$2,IFERROR(INDEX(CLOZE_LIST!$A:$K,ROW()-1-$L$2-$M$2+1,9),""),IF(ROW()-1&lt;=$L$2+$M$2+$N$2+$O$2,IFERROR(INDEX(PROFORMA!$A:$K,ROW()-1-$L$2-$M$2-$N$2+1,9),""),"")))))</f>
        <v>deadlines;claims</v>
      </c>
      <c r="J76" s="3" t="str">
        <f>IF(ROW()-1&lt;=0,"",IF(ROW()-1&lt;=$L$2,IFERROR(INDEX(MCQ!$A:$K,ROW()-1+1,10),""),IF(ROW()-1&lt;=$L$2+$M$2,IFERROR(INDEX(CLOZE_AB!$A:$K,ROW()-1-$L$2+1,10),""),IF(ROW()-1&lt;=$L$2+$M$2+$N$2,IFERROR(INDEX(CLOZE_LIST!$A:$K,ROW()-1-$L$2-$M$2+1,10),""),IF(ROW()-1&lt;=$L$2+$M$2+$N$2+$O$2,IFERROR(INDEX(PROFORMA!$A:$K,ROW()-1-$L$2-$M$2-$N$2+1,10),""),"")))))</f>
        <v>user_supplied</v>
      </c>
      <c r="K76" s="3">
        <f>IF(ROW()-1&lt;=0,"",IF(ROW()-1&lt;=$L$2,IFERROR(INDEX(MCQ!$A:$K,ROW()-1+1,11),""),IF(ROW()-1&lt;=$L$2+$M$2,IFERROR(INDEX(CLOZE_AB!$A:$K,ROW()-1-$L$2+1,11),""),IF(ROW()-1&lt;=$L$2+$M$2+$N$2,IFERROR(INDEX(CLOZE_LIST!$A:$K,ROW()-1-$L$2-$M$2+1,11),""),IF(ROW()-1&lt;=$L$2+$M$2+$N$2+$O$2,IFERROR(INDEX(PROFORMA!$A:$K,ROW()-1-$L$2-$M$2-$N$2+1,11),""),"")))))</f>
        <v>1</v>
      </c>
      <c r="L76" s="3">
        <f>COUNTA(MCQ!$A:$A)-1</f>
        <v>122</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MCQ_FR_FILE_TAXDEAD_010</v>
      </c>
      <c r="B77" s="3" t="str">
        <f>IF(ROW()-1&lt;=0,"",IF(ROW()-1&lt;=$L$2,IFERROR(INDEX(MCQ!$A:$K,ROW()-1+1,2),""),IF(ROW()-1&lt;=$L$2+$M$2,IFERROR(INDEX(CLOZE_AB!$A:$K,ROW()-1-$L$2+1,2),""),IF(ROW()-1&lt;=$L$2+$M$2+$N$2,IFERROR(INDEX(CLOZE_LIST!$A:$K,ROW()-1-$L$2-$M$2+1,2),""),IF(ROW()-1&lt;=$L$2+$M$2+$N$2+$O$2,IFERROR(INDEX(PROFORMA!$A:$K,ROW()-1-$L$2-$M$2-$N$2+1,2),""),"")))))</f>
        <v>Filing rules</v>
      </c>
      <c r="C77" s="3" t="str">
        <f>IF(ROW()-1&lt;=0,"",IF(ROW()-1&lt;=$L$2,IFERROR(INDEX(MCQ!$A:$K,ROW()-1+1,3),""),IF(ROW()-1&lt;=$L$2+$M$2,IFERROR(INDEX(CLOZE_AB!$A:$K,ROW()-1-$L$2+1,3),""),IF(ROW()-1&lt;=$L$2+$M$2+$N$2,IFERROR(INDEX(CLOZE_LIST!$A:$K,ROW()-1-$L$2-$M$2+1,3),""),IF(ROW()-1&lt;=$L$2+$M$2+$N$2+$O$2,IFERROR(INDEX(PROFORMA!$A:$K,ROW()-1-$L$2-$M$2-$N$2+1,3),""),"")))))</f>
        <v>filing_requirements</v>
      </c>
      <c r="D77" s="3" t="str">
        <f>IF(ROW()-1&lt;=0,"",IF(ROW()-1&lt;=$L$2,IFERROR(INDEX(MCQ!$A:$K,ROW()-1+1,4),""),IF(ROW()-1&lt;=$L$2+$M$2,IFERROR(INDEX(CLOZE_AB!$A:$K,ROW()-1-$L$2+1,4),""),IF(ROW()-1&lt;=$L$2+$M$2+$N$2,IFERROR(INDEX(CLOZE_LIST!$A:$K,ROW()-1-$L$2-$M$2+1,4),""),IF(ROW()-1&lt;=$L$2+$M$2+$N$2+$O$2,IFERROR(INDEX(PROFORMA!$A:$K,ROW()-1-$L$2-$M$2-$N$2+1,4),""),"")))))</f>
        <v>Filing, payment and claims deadlines</v>
      </c>
      <c r="E77" s="3" t="str">
        <f>IF(ROW()-1&lt;=0,"",IF(ROW()-1&lt;=$L$2,IFERROR(INDEX(MCQ!$A:$K,ROW()-1+1,5),""),IF(ROW()-1&lt;=$L$2+$M$2,IFERROR(INDEX(CLOZE_AB!$A:$K,ROW()-1-$L$2+1,5),""),IF(ROW()-1&lt;=$L$2+$M$2+$N$2,IFERROR(INDEX(CLOZE_LIST!$A:$K,ROW()-1-$L$2-$M$2+1,5),""),IF(ROW()-1&lt;=$L$2+$M$2+$N$2+$O$2,IFERROR(INDEX(PROFORMA!$A:$K,ROW()-1-$L$2-$M$2-$N$2+1,5),""),"")))))</f>
        <v>mcq_radio</v>
      </c>
      <c r="F77" s="3">
        <f>IF(ROW()-1&lt;=0,"",IF(ROW()-1&lt;=$L$2,IFERROR(INDEX(MCQ!$A:$K,ROW()-1+1,6),""),IF(ROW()-1&lt;=$L$2+$M$2,IFERROR(INDEX(CLOZE_AB!$A:$K,ROW()-1-$L$2+1,6),""),IF(ROW()-1&lt;=$L$2+$M$2+$N$2,IFERROR(INDEX(CLOZE_LIST!$A:$K,ROW()-1-$L$2-$M$2+1,6),""),IF(ROW()-1&lt;=$L$2+$M$2+$N$2+$O$2,IFERROR(INDEX(PROFORMA!$A:$K,ROW()-1-$L$2-$M$2-$N$2+1,6),""),"")))))</f>
        <v>3</v>
      </c>
      <c r="G77" s="3" t="str">
        <f>IF(ROW()-1&lt;=0,"",IF(ROW()-1&lt;=$L$2,IFERROR(INDEX(MCQ!$A:$K,ROW()-1+1,7),""),IF(ROW()-1&lt;=$L$2+$M$2,IFERROR(INDEX(CLOZE_AB!$A:$K,ROW()-1-$L$2+1,7),""),IF(ROW()-1&lt;=$L$2+$M$2+$N$2,IFERROR(INDEX(CLOZE_LIST!$A:$K,ROW()-1-$L$2-$M$2+1,7),""),IF(ROW()-1&lt;=$L$2+$M$2+$N$2+$O$2,IFERROR(INDEX(PROFORMA!$A:$K,ROW()-1-$L$2-$M$2-$N$2+1,7),""),"")))))</f>
        <v>core</v>
      </c>
      <c r="H77" s="3" t="str">
        <f>IF(ROW()-1&lt;=0,"",IF(ROW()-1&lt;=$L$2,IFERROR(INDEX(MCQ!$A:$K,ROW()-1+1,8),""),IF(ROW()-1&lt;=$L$2+$M$2,IFERROR(INDEX(CLOZE_AB!$A:$K,ROW()-1-$L$2+1,8),""),IF(ROW()-1&lt;=$L$2+$M$2+$N$2,IFERROR(INDEX(CLOZE_LIST!$A:$K,ROW()-1-$L$2-$M$2+1,8),""),IF(ROW()-1&lt;=$L$2+$M$2+$N$2+$O$2,IFERROR(INDEX(PROFORMA!$A:$K,ROW()-1-$L$2-$M$2-$N$2+1,8),""),"")))))</f>
        <v>Y</v>
      </c>
      <c r="I77" s="3" t="str">
        <f>IF(ROW()-1&lt;=0,"",IF(ROW()-1&lt;=$L$2,IFERROR(INDEX(MCQ!$A:$K,ROW()-1+1,9),""),IF(ROW()-1&lt;=$L$2+$M$2,IFERROR(INDEX(CLOZE_AB!$A:$K,ROW()-1-$L$2+1,9),""),IF(ROW()-1&lt;=$L$2+$M$2+$N$2,IFERROR(INDEX(CLOZE_LIST!$A:$K,ROW()-1-$L$2-$M$2+1,9),""),IF(ROW()-1&lt;=$L$2+$M$2+$N$2+$O$2,IFERROR(INDEX(PROFORMA!$A:$K,ROW()-1-$L$2-$M$2-$N$2+1,9),""),"")))))</f>
        <v>deadlines;claims</v>
      </c>
      <c r="J77" s="3" t="str">
        <f>IF(ROW()-1&lt;=0,"",IF(ROW()-1&lt;=$L$2,IFERROR(INDEX(MCQ!$A:$K,ROW()-1+1,10),""),IF(ROW()-1&lt;=$L$2+$M$2,IFERROR(INDEX(CLOZE_AB!$A:$K,ROW()-1-$L$2+1,10),""),IF(ROW()-1&lt;=$L$2+$M$2+$N$2,IFERROR(INDEX(CLOZE_LIST!$A:$K,ROW()-1-$L$2-$M$2+1,10),""),IF(ROW()-1&lt;=$L$2+$M$2+$N$2+$O$2,IFERROR(INDEX(PROFORMA!$A:$K,ROW()-1-$L$2-$M$2-$N$2+1,10),""),"")))))</f>
        <v>user_supplied</v>
      </c>
      <c r="K77" s="3">
        <f>IF(ROW()-1&lt;=0,"",IF(ROW()-1&lt;=$L$2,IFERROR(INDEX(MCQ!$A:$K,ROW()-1+1,11),""),IF(ROW()-1&lt;=$L$2+$M$2,IFERROR(INDEX(CLOZE_AB!$A:$K,ROW()-1-$L$2+1,11),""),IF(ROW()-1&lt;=$L$2+$M$2+$N$2,IFERROR(INDEX(CLOZE_LIST!$A:$K,ROW()-1-$L$2-$M$2+1,11),""),IF(ROW()-1&lt;=$L$2+$M$2+$N$2+$O$2,IFERROR(INDEX(PROFORMA!$A:$K,ROW()-1-$L$2-$M$2-$N$2+1,11),""),"")))))</f>
        <v>1</v>
      </c>
      <c r="L77" s="3">
        <f>COUNTA(MCQ!$A:$A)-1</f>
        <v>122</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MCQ_FR_FILE_TAXDEAD_011</v>
      </c>
      <c r="B78" s="3" t="str">
        <f>IF(ROW()-1&lt;=0,"",IF(ROW()-1&lt;=$L$2,IFERROR(INDEX(MCQ!$A:$K,ROW()-1+1,2),""),IF(ROW()-1&lt;=$L$2+$M$2,IFERROR(INDEX(CLOZE_AB!$A:$K,ROW()-1-$L$2+1,2),""),IF(ROW()-1&lt;=$L$2+$M$2+$N$2,IFERROR(INDEX(CLOZE_LIST!$A:$K,ROW()-1-$L$2-$M$2+1,2),""),IF(ROW()-1&lt;=$L$2+$M$2+$N$2+$O$2,IFERROR(INDEX(PROFORMA!$A:$K,ROW()-1-$L$2-$M$2-$N$2+1,2),""),"")))))</f>
        <v>Filing rules</v>
      </c>
      <c r="C78" s="3" t="str">
        <f>IF(ROW()-1&lt;=0,"",IF(ROW()-1&lt;=$L$2,IFERROR(INDEX(MCQ!$A:$K,ROW()-1+1,3),""),IF(ROW()-1&lt;=$L$2+$M$2,IFERROR(INDEX(CLOZE_AB!$A:$K,ROW()-1-$L$2+1,3),""),IF(ROW()-1&lt;=$L$2+$M$2+$N$2,IFERROR(INDEX(CLOZE_LIST!$A:$K,ROW()-1-$L$2-$M$2+1,3),""),IF(ROW()-1&lt;=$L$2+$M$2+$N$2+$O$2,IFERROR(INDEX(PROFORMA!$A:$K,ROW()-1-$L$2-$M$2-$N$2+1,3),""),"")))))</f>
        <v>filing_requirements</v>
      </c>
      <c r="D78" s="3" t="str">
        <f>IF(ROW()-1&lt;=0,"",IF(ROW()-1&lt;=$L$2,IFERROR(INDEX(MCQ!$A:$K,ROW()-1+1,4),""),IF(ROW()-1&lt;=$L$2+$M$2,IFERROR(INDEX(CLOZE_AB!$A:$K,ROW()-1-$L$2+1,4),""),IF(ROW()-1&lt;=$L$2+$M$2+$N$2,IFERROR(INDEX(CLOZE_LIST!$A:$K,ROW()-1-$L$2-$M$2+1,4),""),IF(ROW()-1&lt;=$L$2+$M$2+$N$2+$O$2,IFERROR(INDEX(PROFORMA!$A:$K,ROW()-1-$L$2-$M$2-$N$2+1,4),""),"")))))</f>
        <v>Filing, payment and claims deadlines</v>
      </c>
      <c r="E78" s="3" t="str">
        <f>IF(ROW()-1&lt;=0,"",IF(ROW()-1&lt;=$L$2,IFERROR(INDEX(MCQ!$A:$K,ROW()-1+1,5),""),IF(ROW()-1&lt;=$L$2+$M$2,IFERROR(INDEX(CLOZE_AB!$A:$K,ROW()-1-$L$2+1,5),""),IF(ROW()-1&lt;=$L$2+$M$2+$N$2,IFERROR(INDEX(CLOZE_LIST!$A:$K,ROW()-1-$L$2-$M$2+1,5),""),IF(ROW()-1&lt;=$L$2+$M$2+$N$2+$O$2,IFERROR(INDEX(PROFORMA!$A:$K,ROW()-1-$L$2-$M$2-$N$2+1,5),""),"")))))</f>
        <v>mcq_radio</v>
      </c>
      <c r="F78" s="3">
        <f>IF(ROW()-1&lt;=0,"",IF(ROW()-1&lt;=$L$2,IFERROR(INDEX(MCQ!$A:$K,ROW()-1+1,6),""),IF(ROW()-1&lt;=$L$2+$M$2,IFERROR(INDEX(CLOZE_AB!$A:$K,ROW()-1-$L$2+1,6),""),IF(ROW()-1&lt;=$L$2+$M$2+$N$2,IFERROR(INDEX(CLOZE_LIST!$A:$K,ROW()-1-$L$2-$M$2+1,6),""),IF(ROW()-1&lt;=$L$2+$M$2+$N$2+$O$2,IFERROR(INDEX(PROFORMA!$A:$K,ROW()-1-$L$2-$M$2-$N$2+1,6),""),"")))))</f>
        <v>3</v>
      </c>
      <c r="G78" s="3" t="str">
        <f>IF(ROW()-1&lt;=0,"",IF(ROW()-1&lt;=$L$2,IFERROR(INDEX(MCQ!$A:$K,ROW()-1+1,7),""),IF(ROW()-1&lt;=$L$2+$M$2,IFERROR(INDEX(CLOZE_AB!$A:$K,ROW()-1-$L$2+1,7),""),IF(ROW()-1&lt;=$L$2+$M$2+$N$2,IFERROR(INDEX(CLOZE_LIST!$A:$K,ROW()-1-$L$2-$M$2+1,7),""),IF(ROW()-1&lt;=$L$2+$M$2+$N$2+$O$2,IFERROR(INDEX(PROFORMA!$A:$K,ROW()-1-$L$2-$M$2-$N$2+1,7),""),"")))))</f>
        <v>core</v>
      </c>
      <c r="H78" s="3" t="str">
        <f>IF(ROW()-1&lt;=0,"",IF(ROW()-1&lt;=$L$2,IFERROR(INDEX(MCQ!$A:$K,ROW()-1+1,8),""),IF(ROW()-1&lt;=$L$2+$M$2,IFERROR(INDEX(CLOZE_AB!$A:$K,ROW()-1-$L$2+1,8),""),IF(ROW()-1&lt;=$L$2+$M$2+$N$2,IFERROR(INDEX(CLOZE_LIST!$A:$K,ROW()-1-$L$2-$M$2+1,8),""),IF(ROW()-1&lt;=$L$2+$M$2+$N$2+$O$2,IFERROR(INDEX(PROFORMA!$A:$K,ROW()-1-$L$2-$M$2-$N$2+1,8),""),"")))))</f>
        <v>Y</v>
      </c>
      <c r="I78" s="3" t="str">
        <f>IF(ROW()-1&lt;=0,"",IF(ROW()-1&lt;=$L$2,IFERROR(INDEX(MCQ!$A:$K,ROW()-1+1,9),""),IF(ROW()-1&lt;=$L$2+$M$2,IFERROR(INDEX(CLOZE_AB!$A:$K,ROW()-1-$L$2+1,9),""),IF(ROW()-1&lt;=$L$2+$M$2+$N$2,IFERROR(INDEX(CLOZE_LIST!$A:$K,ROW()-1-$L$2-$M$2+1,9),""),IF(ROW()-1&lt;=$L$2+$M$2+$N$2+$O$2,IFERROR(INDEX(PROFORMA!$A:$K,ROW()-1-$L$2-$M$2-$N$2+1,9),""),"")))))</f>
        <v>deadlines;claims</v>
      </c>
      <c r="J78" s="3" t="str">
        <f>IF(ROW()-1&lt;=0,"",IF(ROW()-1&lt;=$L$2,IFERROR(INDEX(MCQ!$A:$K,ROW()-1+1,10),""),IF(ROW()-1&lt;=$L$2+$M$2,IFERROR(INDEX(CLOZE_AB!$A:$K,ROW()-1-$L$2+1,10),""),IF(ROW()-1&lt;=$L$2+$M$2+$N$2,IFERROR(INDEX(CLOZE_LIST!$A:$K,ROW()-1-$L$2-$M$2+1,10),""),IF(ROW()-1&lt;=$L$2+$M$2+$N$2+$O$2,IFERROR(INDEX(PROFORMA!$A:$K,ROW()-1-$L$2-$M$2-$N$2+1,10),""),"")))))</f>
        <v>user_supplied</v>
      </c>
      <c r="K78" s="3">
        <f>IF(ROW()-1&lt;=0,"",IF(ROW()-1&lt;=$L$2,IFERROR(INDEX(MCQ!$A:$K,ROW()-1+1,11),""),IF(ROW()-1&lt;=$L$2+$M$2,IFERROR(INDEX(CLOZE_AB!$A:$K,ROW()-1-$L$2+1,11),""),IF(ROW()-1&lt;=$L$2+$M$2+$N$2,IFERROR(INDEX(CLOZE_LIST!$A:$K,ROW()-1-$L$2-$M$2+1,11),""),IF(ROW()-1&lt;=$L$2+$M$2+$N$2+$O$2,IFERROR(INDEX(PROFORMA!$A:$K,ROW()-1-$L$2-$M$2-$N$2+1,11),""),"")))))</f>
        <v>1</v>
      </c>
      <c r="L78" s="3">
        <f>COUNTA(MCQ!$A:$A)-1</f>
        <v>122</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MCQ_FR_FILE_TAXDEAD_012</v>
      </c>
      <c r="B79" s="3" t="str">
        <f>IF(ROW()-1&lt;=0,"",IF(ROW()-1&lt;=$L$2,IFERROR(INDEX(MCQ!$A:$K,ROW()-1+1,2),""),IF(ROW()-1&lt;=$L$2+$M$2,IFERROR(INDEX(CLOZE_AB!$A:$K,ROW()-1-$L$2+1,2),""),IF(ROW()-1&lt;=$L$2+$M$2+$N$2,IFERROR(INDEX(CLOZE_LIST!$A:$K,ROW()-1-$L$2-$M$2+1,2),""),IF(ROW()-1&lt;=$L$2+$M$2+$N$2+$O$2,IFERROR(INDEX(PROFORMA!$A:$K,ROW()-1-$L$2-$M$2-$N$2+1,2),""),"")))))</f>
        <v>Filing rules</v>
      </c>
      <c r="C79" s="3" t="str">
        <f>IF(ROW()-1&lt;=0,"",IF(ROW()-1&lt;=$L$2,IFERROR(INDEX(MCQ!$A:$K,ROW()-1+1,3),""),IF(ROW()-1&lt;=$L$2+$M$2,IFERROR(INDEX(CLOZE_AB!$A:$K,ROW()-1-$L$2+1,3),""),IF(ROW()-1&lt;=$L$2+$M$2+$N$2,IFERROR(INDEX(CLOZE_LIST!$A:$K,ROW()-1-$L$2-$M$2+1,3),""),IF(ROW()-1&lt;=$L$2+$M$2+$N$2+$O$2,IFERROR(INDEX(PROFORMA!$A:$K,ROW()-1-$L$2-$M$2-$N$2+1,3),""),"")))))</f>
        <v>filing_requirements</v>
      </c>
      <c r="D79" s="3" t="str">
        <f>IF(ROW()-1&lt;=0,"",IF(ROW()-1&lt;=$L$2,IFERROR(INDEX(MCQ!$A:$K,ROW()-1+1,4),""),IF(ROW()-1&lt;=$L$2+$M$2,IFERROR(INDEX(CLOZE_AB!$A:$K,ROW()-1-$L$2+1,4),""),IF(ROW()-1&lt;=$L$2+$M$2+$N$2,IFERROR(INDEX(CLOZE_LIST!$A:$K,ROW()-1-$L$2-$M$2+1,4),""),IF(ROW()-1&lt;=$L$2+$M$2+$N$2+$O$2,IFERROR(INDEX(PROFORMA!$A:$K,ROW()-1-$L$2-$M$2-$N$2+1,4),""),"")))))</f>
        <v>Filing, payment and claims deadlines</v>
      </c>
      <c r="E79" s="3" t="str">
        <f>IF(ROW()-1&lt;=0,"",IF(ROW()-1&lt;=$L$2,IFERROR(INDEX(MCQ!$A:$K,ROW()-1+1,5),""),IF(ROW()-1&lt;=$L$2+$M$2,IFERROR(INDEX(CLOZE_AB!$A:$K,ROW()-1-$L$2+1,5),""),IF(ROW()-1&lt;=$L$2+$M$2+$N$2,IFERROR(INDEX(CLOZE_LIST!$A:$K,ROW()-1-$L$2-$M$2+1,5),""),IF(ROW()-1&lt;=$L$2+$M$2+$N$2+$O$2,IFERROR(INDEX(PROFORMA!$A:$K,ROW()-1-$L$2-$M$2-$N$2+1,5),""),"")))))</f>
        <v>mcq_radio</v>
      </c>
      <c r="F79" s="3">
        <f>IF(ROW()-1&lt;=0,"",IF(ROW()-1&lt;=$L$2,IFERROR(INDEX(MCQ!$A:$K,ROW()-1+1,6),""),IF(ROW()-1&lt;=$L$2+$M$2,IFERROR(INDEX(CLOZE_AB!$A:$K,ROW()-1-$L$2+1,6),""),IF(ROW()-1&lt;=$L$2+$M$2+$N$2,IFERROR(INDEX(CLOZE_LIST!$A:$K,ROW()-1-$L$2-$M$2+1,6),""),IF(ROW()-1&lt;=$L$2+$M$2+$N$2+$O$2,IFERROR(INDEX(PROFORMA!$A:$K,ROW()-1-$L$2-$M$2-$N$2+1,6),""),"")))))</f>
        <v>3</v>
      </c>
      <c r="G79" s="3" t="str">
        <f>IF(ROW()-1&lt;=0,"",IF(ROW()-1&lt;=$L$2,IFERROR(INDEX(MCQ!$A:$K,ROW()-1+1,7),""),IF(ROW()-1&lt;=$L$2+$M$2,IFERROR(INDEX(CLOZE_AB!$A:$K,ROW()-1-$L$2+1,7),""),IF(ROW()-1&lt;=$L$2+$M$2+$N$2,IFERROR(INDEX(CLOZE_LIST!$A:$K,ROW()-1-$L$2-$M$2+1,7),""),IF(ROW()-1&lt;=$L$2+$M$2+$N$2+$O$2,IFERROR(INDEX(PROFORMA!$A:$K,ROW()-1-$L$2-$M$2-$N$2+1,7),""),"")))))</f>
        <v>core</v>
      </c>
      <c r="H79" s="3" t="str">
        <f>IF(ROW()-1&lt;=0,"",IF(ROW()-1&lt;=$L$2,IFERROR(INDEX(MCQ!$A:$K,ROW()-1+1,8),""),IF(ROW()-1&lt;=$L$2+$M$2,IFERROR(INDEX(CLOZE_AB!$A:$K,ROW()-1-$L$2+1,8),""),IF(ROW()-1&lt;=$L$2+$M$2+$N$2,IFERROR(INDEX(CLOZE_LIST!$A:$K,ROW()-1-$L$2-$M$2+1,8),""),IF(ROW()-1&lt;=$L$2+$M$2+$N$2+$O$2,IFERROR(INDEX(PROFORMA!$A:$K,ROW()-1-$L$2-$M$2-$N$2+1,8),""),"")))))</f>
        <v>Y</v>
      </c>
      <c r="I79" s="3" t="str">
        <f>IF(ROW()-1&lt;=0,"",IF(ROW()-1&lt;=$L$2,IFERROR(INDEX(MCQ!$A:$K,ROW()-1+1,9),""),IF(ROW()-1&lt;=$L$2+$M$2,IFERROR(INDEX(CLOZE_AB!$A:$K,ROW()-1-$L$2+1,9),""),IF(ROW()-1&lt;=$L$2+$M$2+$N$2,IFERROR(INDEX(CLOZE_LIST!$A:$K,ROW()-1-$L$2-$M$2+1,9),""),IF(ROW()-1&lt;=$L$2+$M$2+$N$2+$O$2,IFERROR(INDEX(PROFORMA!$A:$K,ROW()-1-$L$2-$M$2-$N$2+1,9),""),"")))))</f>
        <v>deadlines;claims</v>
      </c>
      <c r="J79" s="3" t="str">
        <f>IF(ROW()-1&lt;=0,"",IF(ROW()-1&lt;=$L$2,IFERROR(INDEX(MCQ!$A:$K,ROW()-1+1,10),""),IF(ROW()-1&lt;=$L$2+$M$2,IFERROR(INDEX(CLOZE_AB!$A:$K,ROW()-1-$L$2+1,10),""),IF(ROW()-1&lt;=$L$2+$M$2+$N$2,IFERROR(INDEX(CLOZE_LIST!$A:$K,ROW()-1-$L$2-$M$2+1,10),""),IF(ROW()-1&lt;=$L$2+$M$2+$N$2+$O$2,IFERROR(INDEX(PROFORMA!$A:$K,ROW()-1-$L$2-$M$2-$N$2+1,10),""),"")))))</f>
        <v>user_supplied</v>
      </c>
      <c r="K79" s="3">
        <f>IF(ROW()-1&lt;=0,"",IF(ROW()-1&lt;=$L$2,IFERROR(INDEX(MCQ!$A:$K,ROW()-1+1,11),""),IF(ROW()-1&lt;=$L$2+$M$2,IFERROR(INDEX(CLOZE_AB!$A:$K,ROW()-1-$L$2+1,11),""),IF(ROW()-1&lt;=$L$2+$M$2+$N$2,IFERROR(INDEX(CLOZE_LIST!$A:$K,ROW()-1-$L$2-$M$2+1,11),""),IF(ROW()-1&lt;=$L$2+$M$2+$N$2+$O$2,IFERROR(INDEX(PROFORMA!$A:$K,ROW()-1-$L$2-$M$2-$N$2+1,11),""),"")))))</f>
        <v>1</v>
      </c>
      <c r="L79" s="3">
        <f>COUNTA(MCQ!$A:$A)-1</f>
        <v>122</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MCQ_FR_FILE_TAXDEAD_013</v>
      </c>
      <c r="B80" s="3" t="str">
        <f>IF(ROW()-1&lt;=0,"",IF(ROW()-1&lt;=$L$2,IFERROR(INDEX(MCQ!$A:$K,ROW()-1+1,2),""),IF(ROW()-1&lt;=$L$2+$M$2,IFERROR(INDEX(CLOZE_AB!$A:$K,ROW()-1-$L$2+1,2),""),IF(ROW()-1&lt;=$L$2+$M$2+$N$2,IFERROR(INDEX(CLOZE_LIST!$A:$K,ROW()-1-$L$2-$M$2+1,2),""),IF(ROW()-1&lt;=$L$2+$M$2+$N$2+$O$2,IFERROR(INDEX(PROFORMA!$A:$K,ROW()-1-$L$2-$M$2-$N$2+1,2),""),"")))))</f>
        <v>Filing rules</v>
      </c>
      <c r="C80" s="3" t="str">
        <f>IF(ROW()-1&lt;=0,"",IF(ROW()-1&lt;=$L$2,IFERROR(INDEX(MCQ!$A:$K,ROW()-1+1,3),""),IF(ROW()-1&lt;=$L$2+$M$2,IFERROR(INDEX(CLOZE_AB!$A:$K,ROW()-1-$L$2+1,3),""),IF(ROW()-1&lt;=$L$2+$M$2+$N$2,IFERROR(INDEX(CLOZE_LIST!$A:$K,ROW()-1-$L$2-$M$2+1,3),""),IF(ROW()-1&lt;=$L$2+$M$2+$N$2+$O$2,IFERROR(INDEX(PROFORMA!$A:$K,ROW()-1-$L$2-$M$2-$N$2+1,3),""),"")))))</f>
        <v>filing_requirements</v>
      </c>
      <c r="D80" s="3" t="str">
        <f>IF(ROW()-1&lt;=0,"",IF(ROW()-1&lt;=$L$2,IFERROR(INDEX(MCQ!$A:$K,ROW()-1+1,4),""),IF(ROW()-1&lt;=$L$2+$M$2,IFERROR(INDEX(CLOZE_AB!$A:$K,ROW()-1-$L$2+1,4),""),IF(ROW()-1&lt;=$L$2+$M$2+$N$2,IFERROR(INDEX(CLOZE_LIST!$A:$K,ROW()-1-$L$2-$M$2+1,4),""),IF(ROW()-1&lt;=$L$2+$M$2+$N$2+$O$2,IFERROR(INDEX(PROFORMA!$A:$K,ROW()-1-$L$2-$M$2-$N$2+1,4),""),"")))))</f>
        <v>Filing, payment and claims deadlines</v>
      </c>
      <c r="E80" s="3" t="str">
        <f>IF(ROW()-1&lt;=0,"",IF(ROW()-1&lt;=$L$2,IFERROR(INDEX(MCQ!$A:$K,ROW()-1+1,5),""),IF(ROW()-1&lt;=$L$2+$M$2,IFERROR(INDEX(CLOZE_AB!$A:$K,ROW()-1-$L$2+1,5),""),IF(ROW()-1&lt;=$L$2+$M$2+$N$2,IFERROR(INDEX(CLOZE_LIST!$A:$K,ROW()-1-$L$2-$M$2+1,5),""),IF(ROW()-1&lt;=$L$2+$M$2+$N$2+$O$2,IFERROR(INDEX(PROFORMA!$A:$K,ROW()-1-$L$2-$M$2-$N$2+1,5),""),"")))))</f>
        <v>mcq_radio</v>
      </c>
      <c r="F80" s="3">
        <f>IF(ROW()-1&lt;=0,"",IF(ROW()-1&lt;=$L$2,IFERROR(INDEX(MCQ!$A:$K,ROW()-1+1,6),""),IF(ROW()-1&lt;=$L$2+$M$2,IFERROR(INDEX(CLOZE_AB!$A:$K,ROW()-1-$L$2+1,6),""),IF(ROW()-1&lt;=$L$2+$M$2+$N$2,IFERROR(INDEX(CLOZE_LIST!$A:$K,ROW()-1-$L$2-$M$2+1,6),""),IF(ROW()-1&lt;=$L$2+$M$2+$N$2+$O$2,IFERROR(INDEX(PROFORMA!$A:$K,ROW()-1-$L$2-$M$2-$N$2+1,6),""),"")))))</f>
        <v>3</v>
      </c>
      <c r="G80" s="3" t="str">
        <f>IF(ROW()-1&lt;=0,"",IF(ROW()-1&lt;=$L$2,IFERROR(INDEX(MCQ!$A:$K,ROW()-1+1,7),""),IF(ROW()-1&lt;=$L$2+$M$2,IFERROR(INDEX(CLOZE_AB!$A:$K,ROW()-1-$L$2+1,7),""),IF(ROW()-1&lt;=$L$2+$M$2+$N$2,IFERROR(INDEX(CLOZE_LIST!$A:$K,ROW()-1-$L$2-$M$2+1,7),""),IF(ROW()-1&lt;=$L$2+$M$2+$N$2+$O$2,IFERROR(INDEX(PROFORMA!$A:$K,ROW()-1-$L$2-$M$2-$N$2+1,7),""),"")))))</f>
        <v>core</v>
      </c>
      <c r="H80" s="3" t="str">
        <f>IF(ROW()-1&lt;=0,"",IF(ROW()-1&lt;=$L$2,IFERROR(INDEX(MCQ!$A:$K,ROW()-1+1,8),""),IF(ROW()-1&lt;=$L$2+$M$2,IFERROR(INDEX(CLOZE_AB!$A:$K,ROW()-1-$L$2+1,8),""),IF(ROW()-1&lt;=$L$2+$M$2+$N$2,IFERROR(INDEX(CLOZE_LIST!$A:$K,ROW()-1-$L$2-$M$2+1,8),""),IF(ROW()-1&lt;=$L$2+$M$2+$N$2+$O$2,IFERROR(INDEX(PROFORMA!$A:$K,ROW()-1-$L$2-$M$2-$N$2+1,8),""),"")))))</f>
        <v>Y</v>
      </c>
      <c r="I80" s="3" t="str">
        <f>IF(ROW()-1&lt;=0,"",IF(ROW()-1&lt;=$L$2,IFERROR(INDEX(MCQ!$A:$K,ROW()-1+1,9),""),IF(ROW()-1&lt;=$L$2+$M$2,IFERROR(INDEX(CLOZE_AB!$A:$K,ROW()-1-$L$2+1,9),""),IF(ROW()-1&lt;=$L$2+$M$2+$N$2,IFERROR(INDEX(CLOZE_LIST!$A:$K,ROW()-1-$L$2-$M$2+1,9),""),IF(ROW()-1&lt;=$L$2+$M$2+$N$2+$O$2,IFERROR(INDEX(PROFORMA!$A:$K,ROW()-1-$L$2-$M$2-$N$2+1,9),""),"")))))</f>
        <v>deadlines;claims</v>
      </c>
      <c r="J80" s="3" t="str">
        <f>IF(ROW()-1&lt;=0,"",IF(ROW()-1&lt;=$L$2,IFERROR(INDEX(MCQ!$A:$K,ROW()-1+1,10),""),IF(ROW()-1&lt;=$L$2+$M$2,IFERROR(INDEX(CLOZE_AB!$A:$K,ROW()-1-$L$2+1,10),""),IF(ROW()-1&lt;=$L$2+$M$2+$N$2,IFERROR(INDEX(CLOZE_LIST!$A:$K,ROW()-1-$L$2-$M$2+1,10),""),IF(ROW()-1&lt;=$L$2+$M$2+$N$2+$O$2,IFERROR(INDEX(PROFORMA!$A:$K,ROW()-1-$L$2-$M$2-$N$2+1,10),""),"")))))</f>
        <v>user_supplied</v>
      </c>
      <c r="K80" s="3">
        <f>IF(ROW()-1&lt;=0,"",IF(ROW()-1&lt;=$L$2,IFERROR(INDEX(MCQ!$A:$K,ROW()-1+1,11),""),IF(ROW()-1&lt;=$L$2+$M$2,IFERROR(INDEX(CLOZE_AB!$A:$K,ROW()-1-$L$2+1,11),""),IF(ROW()-1&lt;=$L$2+$M$2+$N$2,IFERROR(INDEX(CLOZE_LIST!$A:$K,ROW()-1-$L$2-$M$2+1,11),""),IF(ROW()-1&lt;=$L$2+$M$2+$N$2+$O$2,IFERROR(INDEX(PROFORMA!$A:$K,ROW()-1-$L$2-$M$2-$N$2+1,11),""),"")))))</f>
        <v>1</v>
      </c>
      <c r="L80" s="3">
        <f>COUNTA(MCQ!$A:$A)-1</f>
        <v>122</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MCQ_FR_FILE_TAXDEAD_014</v>
      </c>
      <c r="B81" s="3" t="str">
        <f>IF(ROW()-1&lt;=0,"",IF(ROW()-1&lt;=$L$2,IFERROR(INDEX(MCQ!$A:$K,ROW()-1+1,2),""),IF(ROW()-1&lt;=$L$2+$M$2,IFERROR(INDEX(CLOZE_AB!$A:$K,ROW()-1-$L$2+1,2),""),IF(ROW()-1&lt;=$L$2+$M$2+$N$2,IFERROR(INDEX(CLOZE_LIST!$A:$K,ROW()-1-$L$2-$M$2+1,2),""),IF(ROW()-1&lt;=$L$2+$M$2+$N$2+$O$2,IFERROR(INDEX(PROFORMA!$A:$K,ROW()-1-$L$2-$M$2-$N$2+1,2),""),"")))))</f>
        <v>Filing rules</v>
      </c>
      <c r="C81" s="3" t="str">
        <f>IF(ROW()-1&lt;=0,"",IF(ROW()-1&lt;=$L$2,IFERROR(INDEX(MCQ!$A:$K,ROW()-1+1,3),""),IF(ROW()-1&lt;=$L$2+$M$2,IFERROR(INDEX(CLOZE_AB!$A:$K,ROW()-1-$L$2+1,3),""),IF(ROW()-1&lt;=$L$2+$M$2+$N$2,IFERROR(INDEX(CLOZE_LIST!$A:$K,ROW()-1-$L$2-$M$2+1,3),""),IF(ROW()-1&lt;=$L$2+$M$2+$N$2+$O$2,IFERROR(INDEX(PROFORMA!$A:$K,ROW()-1-$L$2-$M$2-$N$2+1,3),""),"")))))</f>
        <v>filing_requirements</v>
      </c>
      <c r="D81" s="3" t="str">
        <f>IF(ROW()-1&lt;=0,"",IF(ROW()-1&lt;=$L$2,IFERROR(INDEX(MCQ!$A:$K,ROW()-1+1,4),""),IF(ROW()-1&lt;=$L$2+$M$2,IFERROR(INDEX(CLOZE_AB!$A:$K,ROW()-1-$L$2+1,4),""),IF(ROW()-1&lt;=$L$2+$M$2+$N$2,IFERROR(INDEX(CLOZE_LIST!$A:$K,ROW()-1-$L$2-$M$2+1,4),""),IF(ROW()-1&lt;=$L$2+$M$2+$N$2+$O$2,IFERROR(INDEX(PROFORMA!$A:$K,ROW()-1-$L$2-$M$2-$N$2+1,4),""),"")))))</f>
        <v>Filing, payment and claims deadlines</v>
      </c>
      <c r="E81" s="3" t="str">
        <f>IF(ROW()-1&lt;=0,"",IF(ROW()-1&lt;=$L$2,IFERROR(INDEX(MCQ!$A:$K,ROW()-1+1,5),""),IF(ROW()-1&lt;=$L$2+$M$2,IFERROR(INDEX(CLOZE_AB!$A:$K,ROW()-1-$L$2+1,5),""),IF(ROW()-1&lt;=$L$2+$M$2+$N$2,IFERROR(INDEX(CLOZE_LIST!$A:$K,ROW()-1-$L$2-$M$2+1,5),""),IF(ROW()-1&lt;=$L$2+$M$2+$N$2+$O$2,IFERROR(INDEX(PROFORMA!$A:$K,ROW()-1-$L$2-$M$2-$N$2+1,5),""),"")))))</f>
        <v>mcq_radio</v>
      </c>
      <c r="F81" s="3">
        <f>IF(ROW()-1&lt;=0,"",IF(ROW()-1&lt;=$L$2,IFERROR(INDEX(MCQ!$A:$K,ROW()-1+1,6),""),IF(ROW()-1&lt;=$L$2+$M$2,IFERROR(INDEX(CLOZE_AB!$A:$K,ROW()-1-$L$2+1,6),""),IF(ROW()-1&lt;=$L$2+$M$2+$N$2,IFERROR(INDEX(CLOZE_LIST!$A:$K,ROW()-1-$L$2-$M$2+1,6),""),IF(ROW()-1&lt;=$L$2+$M$2+$N$2+$O$2,IFERROR(INDEX(PROFORMA!$A:$K,ROW()-1-$L$2-$M$2-$N$2+1,6),""),"")))))</f>
        <v>3</v>
      </c>
      <c r="G81" s="3" t="str">
        <f>IF(ROW()-1&lt;=0,"",IF(ROW()-1&lt;=$L$2,IFERROR(INDEX(MCQ!$A:$K,ROW()-1+1,7),""),IF(ROW()-1&lt;=$L$2+$M$2,IFERROR(INDEX(CLOZE_AB!$A:$K,ROW()-1-$L$2+1,7),""),IF(ROW()-1&lt;=$L$2+$M$2+$N$2,IFERROR(INDEX(CLOZE_LIST!$A:$K,ROW()-1-$L$2-$M$2+1,7),""),IF(ROW()-1&lt;=$L$2+$M$2+$N$2+$O$2,IFERROR(INDEX(PROFORMA!$A:$K,ROW()-1-$L$2-$M$2-$N$2+1,7),""),"")))))</f>
        <v>core</v>
      </c>
      <c r="H81" s="3" t="str">
        <f>IF(ROW()-1&lt;=0,"",IF(ROW()-1&lt;=$L$2,IFERROR(INDEX(MCQ!$A:$K,ROW()-1+1,8),""),IF(ROW()-1&lt;=$L$2+$M$2,IFERROR(INDEX(CLOZE_AB!$A:$K,ROW()-1-$L$2+1,8),""),IF(ROW()-1&lt;=$L$2+$M$2+$N$2,IFERROR(INDEX(CLOZE_LIST!$A:$K,ROW()-1-$L$2-$M$2+1,8),""),IF(ROW()-1&lt;=$L$2+$M$2+$N$2+$O$2,IFERROR(INDEX(PROFORMA!$A:$K,ROW()-1-$L$2-$M$2-$N$2+1,8),""),"")))))</f>
        <v>Y</v>
      </c>
      <c r="I81" s="3" t="str">
        <f>IF(ROW()-1&lt;=0,"",IF(ROW()-1&lt;=$L$2,IFERROR(INDEX(MCQ!$A:$K,ROW()-1+1,9),""),IF(ROW()-1&lt;=$L$2+$M$2,IFERROR(INDEX(CLOZE_AB!$A:$K,ROW()-1-$L$2+1,9),""),IF(ROW()-1&lt;=$L$2+$M$2+$N$2,IFERROR(INDEX(CLOZE_LIST!$A:$K,ROW()-1-$L$2-$M$2+1,9),""),IF(ROW()-1&lt;=$L$2+$M$2+$N$2+$O$2,IFERROR(INDEX(PROFORMA!$A:$K,ROW()-1-$L$2-$M$2-$N$2+1,9),""),"")))))</f>
        <v>deadlines;claims</v>
      </c>
      <c r="J81" s="3" t="str">
        <f>IF(ROW()-1&lt;=0,"",IF(ROW()-1&lt;=$L$2,IFERROR(INDEX(MCQ!$A:$K,ROW()-1+1,10),""),IF(ROW()-1&lt;=$L$2+$M$2,IFERROR(INDEX(CLOZE_AB!$A:$K,ROW()-1-$L$2+1,10),""),IF(ROW()-1&lt;=$L$2+$M$2+$N$2,IFERROR(INDEX(CLOZE_LIST!$A:$K,ROW()-1-$L$2-$M$2+1,10),""),IF(ROW()-1&lt;=$L$2+$M$2+$N$2+$O$2,IFERROR(INDEX(PROFORMA!$A:$K,ROW()-1-$L$2-$M$2-$N$2+1,10),""),"")))))</f>
        <v>user_supplied</v>
      </c>
      <c r="K81" s="3">
        <f>IF(ROW()-1&lt;=0,"",IF(ROW()-1&lt;=$L$2,IFERROR(INDEX(MCQ!$A:$K,ROW()-1+1,11),""),IF(ROW()-1&lt;=$L$2+$M$2,IFERROR(INDEX(CLOZE_AB!$A:$K,ROW()-1-$L$2+1,11),""),IF(ROW()-1&lt;=$L$2+$M$2+$N$2,IFERROR(INDEX(CLOZE_LIST!$A:$K,ROW()-1-$L$2-$M$2+1,11),""),IF(ROW()-1&lt;=$L$2+$M$2+$N$2+$O$2,IFERROR(INDEX(PROFORMA!$A:$K,ROW()-1-$L$2-$M$2-$N$2+1,11),""),"")))))</f>
        <v>1</v>
      </c>
      <c r="L81" s="3">
        <f>COUNTA(MCQ!$A:$A)-1</f>
        <v>122</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MCQ_FR_FILE_TAXDEAD_015</v>
      </c>
      <c r="B82" s="3" t="str">
        <f>IF(ROW()-1&lt;=0,"",IF(ROW()-1&lt;=$L$2,IFERROR(INDEX(MCQ!$A:$K,ROW()-1+1,2),""),IF(ROW()-1&lt;=$L$2+$M$2,IFERROR(INDEX(CLOZE_AB!$A:$K,ROW()-1-$L$2+1,2),""),IF(ROW()-1&lt;=$L$2+$M$2+$N$2,IFERROR(INDEX(CLOZE_LIST!$A:$K,ROW()-1-$L$2-$M$2+1,2),""),IF(ROW()-1&lt;=$L$2+$M$2+$N$2+$O$2,IFERROR(INDEX(PROFORMA!$A:$K,ROW()-1-$L$2-$M$2-$N$2+1,2),""),"")))))</f>
        <v>Filing rules</v>
      </c>
      <c r="C82" s="3" t="str">
        <f>IF(ROW()-1&lt;=0,"",IF(ROW()-1&lt;=$L$2,IFERROR(INDEX(MCQ!$A:$K,ROW()-1+1,3),""),IF(ROW()-1&lt;=$L$2+$M$2,IFERROR(INDEX(CLOZE_AB!$A:$K,ROW()-1-$L$2+1,3),""),IF(ROW()-1&lt;=$L$2+$M$2+$N$2,IFERROR(INDEX(CLOZE_LIST!$A:$K,ROW()-1-$L$2-$M$2+1,3),""),IF(ROW()-1&lt;=$L$2+$M$2+$N$2+$O$2,IFERROR(INDEX(PROFORMA!$A:$K,ROW()-1-$L$2-$M$2-$N$2+1,3),""),"")))))</f>
        <v>filing_requirements</v>
      </c>
      <c r="D82" s="3" t="str">
        <f>IF(ROW()-1&lt;=0,"",IF(ROW()-1&lt;=$L$2,IFERROR(INDEX(MCQ!$A:$K,ROW()-1+1,4),""),IF(ROW()-1&lt;=$L$2+$M$2,IFERROR(INDEX(CLOZE_AB!$A:$K,ROW()-1-$L$2+1,4),""),IF(ROW()-1&lt;=$L$2+$M$2+$N$2,IFERROR(INDEX(CLOZE_LIST!$A:$K,ROW()-1-$L$2-$M$2+1,4),""),IF(ROW()-1&lt;=$L$2+$M$2+$N$2+$O$2,IFERROR(INDEX(PROFORMA!$A:$K,ROW()-1-$L$2-$M$2-$N$2+1,4),""),"")))))</f>
        <v>Filing, payment and claims deadlines</v>
      </c>
      <c r="E82" s="3" t="str">
        <f>IF(ROW()-1&lt;=0,"",IF(ROW()-1&lt;=$L$2,IFERROR(INDEX(MCQ!$A:$K,ROW()-1+1,5),""),IF(ROW()-1&lt;=$L$2+$M$2,IFERROR(INDEX(CLOZE_AB!$A:$K,ROW()-1-$L$2+1,5),""),IF(ROW()-1&lt;=$L$2+$M$2+$N$2,IFERROR(INDEX(CLOZE_LIST!$A:$K,ROW()-1-$L$2-$M$2+1,5),""),IF(ROW()-1&lt;=$L$2+$M$2+$N$2+$O$2,IFERROR(INDEX(PROFORMA!$A:$K,ROW()-1-$L$2-$M$2-$N$2+1,5),""),"")))))</f>
        <v>mcq_radio</v>
      </c>
      <c r="F82" s="3">
        <f>IF(ROW()-1&lt;=0,"",IF(ROW()-1&lt;=$L$2,IFERROR(INDEX(MCQ!$A:$K,ROW()-1+1,6),""),IF(ROW()-1&lt;=$L$2+$M$2,IFERROR(INDEX(CLOZE_AB!$A:$K,ROW()-1-$L$2+1,6),""),IF(ROW()-1&lt;=$L$2+$M$2+$N$2,IFERROR(INDEX(CLOZE_LIST!$A:$K,ROW()-1-$L$2-$M$2+1,6),""),IF(ROW()-1&lt;=$L$2+$M$2+$N$2+$O$2,IFERROR(INDEX(PROFORMA!$A:$K,ROW()-1-$L$2-$M$2-$N$2+1,6),""),"")))))</f>
        <v>3</v>
      </c>
      <c r="G82" s="3" t="str">
        <f>IF(ROW()-1&lt;=0,"",IF(ROW()-1&lt;=$L$2,IFERROR(INDEX(MCQ!$A:$K,ROW()-1+1,7),""),IF(ROW()-1&lt;=$L$2+$M$2,IFERROR(INDEX(CLOZE_AB!$A:$K,ROW()-1-$L$2+1,7),""),IF(ROW()-1&lt;=$L$2+$M$2+$N$2,IFERROR(INDEX(CLOZE_LIST!$A:$K,ROW()-1-$L$2-$M$2+1,7),""),IF(ROW()-1&lt;=$L$2+$M$2+$N$2+$O$2,IFERROR(INDEX(PROFORMA!$A:$K,ROW()-1-$L$2-$M$2-$N$2+1,7),""),"")))))</f>
        <v>core</v>
      </c>
      <c r="H82" s="3" t="str">
        <f>IF(ROW()-1&lt;=0,"",IF(ROW()-1&lt;=$L$2,IFERROR(INDEX(MCQ!$A:$K,ROW()-1+1,8),""),IF(ROW()-1&lt;=$L$2+$M$2,IFERROR(INDEX(CLOZE_AB!$A:$K,ROW()-1-$L$2+1,8),""),IF(ROW()-1&lt;=$L$2+$M$2+$N$2,IFERROR(INDEX(CLOZE_LIST!$A:$K,ROW()-1-$L$2-$M$2+1,8),""),IF(ROW()-1&lt;=$L$2+$M$2+$N$2+$O$2,IFERROR(INDEX(PROFORMA!$A:$K,ROW()-1-$L$2-$M$2-$N$2+1,8),""),"")))))</f>
        <v>Y</v>
      </c>
      <c r="I82" s="3" t="str">
        <f>IF(ROW()-1&lt;=0,"",IF(ROW()-1&lt;=$L$2,IFERROR(INDEX(MCQ!$A:$K,ROW()-1+1,9),""),IF(ROW()-1&lt;=$L$2+$M$2,IFERROR(INDEX(CLOZE_AB!$A:$K,ROW()-1-$L$2+1,9),""),IF(ROW()-1&lt;=$L$2+$M$2+$N$2,IFERROR(INDEX(CLOZE_LIST!$A:$K,ROW()-1-$L$2-$M$2+1,9),""),IF(ROW()-1&lt;=$L$2+$M$2+$N$2+$O$2,IFERROR(INDEX(PROFORMA!$A:$K,ROW()-1-$L$2-$M$2-$N$2+1,9),""),"")))))</f>
        <v>deadlines;claims</v>
      </c>
      <c r="J82" s="3" t="str">
        <f>IF(ROW()-1&lt;=0,"",IF(ROW()-1&lt;=$L$2,IFERROR(INDEX(MCQ!$A:$K,ROW()-1+1,10),""),IF(ROW()-1&lt;=$L$2+$M$2,IFERROR(INDEX(CLOZE_AB!$A:$K,ROW()-1-$L$2+1,10),""),IF(ROW()-1&lt;=$L$2+$M$2+$N$2,IFERROR(INDEX(CLOZE_LIST!$A:$K,ROW()-1-$L$2-$M$2+1,10),""),IF(ROW()-1&lt;=$L$2+$M$2+$N$2+$O$2,IFERROR(INDEX(PROFORMA!$A:$K,ROW()-1-$L$2-$M$2-$N$2+1,10),""),"")))))</f>
        <v>user_supplied</v>
      </c>
      <c r="K82" s="3">
        <f>IF(ROW()-1&lt;=0,"",IF(ROW()-1&lt;=$L$2,IFERROR(INDEX(MCQ!$A:$K,ROW()-1+1,11),""),IF(ROW()-1&lt;=$L$2+$M$2,IFERROR(INDEX(CLOZE_AB!$A:$K,ROW()-1-$L$2+1,11),""),IF(ROW()-1&lt;=$L$2+$M$2+$N$2,IFERROR(INDEX(CLOZE_LIST!$A:$K,ROW()-1-$L$2-$M$2+1,11),""),IF(ROW()-1&lt;=$L$2+$M$2+$N$2+$O$2,IFERROR(INDEX(PROFORMA!$A:$K,ROW()-1-$L$2-$M$2-$N$2+1,11),""),"")))))</f>
        <v>1</v>
      </c>
      <c r="L82" s="3">
        <f>COUNTA(MCQ!$A:$A)-1</f>
        <v>122</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MCQ_FR_FILE_TAXDEAD_016</v>
      </c>
      <c r="B83" s="3" t="str">
        <f>IF(ROW()-1&lt;=0,"",IF(ROW()-1&lt;=$L$2,IFERROR(INDEX(MCQ!$A:$K,ROW()-1+1,2),""),IF(ROW()-1&lt;=$L$2+$M$2,IFERROR(INDEX(CLOZE_AB!$A:$K,ROW()-1-$L$2+1,2),""),IF(ROW()-1&lt;=$L$2+$M$2+$N$2,IFERROR(INDEX(CLOZE_LIST!$A:$K,ROW()-1-$L$2-$M$2+1,2),""),IF(ROW()-1&lt;=$L$2+$M$2+$N$2+$O$2,IFERROR(INDEX(PROFORMA!$A:$K,ROW()-1-$L$2-$M$2-$N$2+1,2),""),"")))))</f>
        <v>Filing rules</v>
      </c>
      <c r="C83" s="3" t="str">
        <f>IF(ROW()-1&lt;=0,"",IF(ROW()-1&lt;=$L$2,IFERROR(INDEX(MCQ!$A:$K,ROW()-1+1,3),""),IF(ROW()-1&lt;=$L$2+$M$2,IFERROR(INDEX(CLOZE_AB!$A:$K,ROW()-1-$L$2+1,3),""),IF(ROW()-1&lt;=$L$2+$M$2+$N$2,IFERROR(INDEX(CLOZE_LIST!$A:$K,ROW()-1-$L$2-$M$2+1,3),""),IF(ROW()-1&lt;=$L$2+$M$2+$N$2+$O$2,IFERROR(INDEX(PROFORMA!$A:$K,ROW()-1-$L$2-$M$2-$N$2+1,3),""),"")))))</f>
        <v>filing_requirements</v>
      </c>
      <c r="D83" s="3" t="str">
        <f>IF(ROW()-1&lt;=0,"",IF(ROW()-1&lt;=$L$2,IFERROR(INDEX(MCQ!$A:$K,ROW()-1+1,4),""),IF(ROW()-1&lt;=$L$2+$M$2,IFERROR(INDEX(CLOZE_AB!$A:$K,ROW()-1-$L$2+1,4),""),IF(ROW()-1&lt;=$L$2+$M$2+$N$2,IFERROR(INDEX(CLOZE_LIST!$A:$K,ROW()-1-$L$2-$M$2+1,4),""),IF(ROW()-1&lt;=$L$2+$M$2+$N$2+$O$2,IFERROR(INDEX(PROFORMA!$A:$K,ROW()-1-$L$2-$M$2-$N$2+1,4),""),"")))))</f>
        <v>Filing, payment and claims deadlines</v>
      </c>
      <c r="E83" s="3" t="str">
        <f>IF(ROW()-1&lt;=0,"",IF(ROW()-1&lt;=$L$2,IFERROR(INDEX(MCQ!$A:$K,ROW()-1+1,5),""),IF(ROW()-1&lt;=$L$2+$M$2,IFERROR(INDEX(CLOZE_AB!$A:$K,ROW()-1-$L$2+1,5),""),IF(ROW()-1&lt;=$L$2+$M$2+$N$2,IFERROR(INDEX(CLOZE_LIST!$A:$K,ROW()-1-$L$2-$M$2+1,5),""),IF(ROW()-1&lt;=$L$2+$M$2+$N$2+$O$2,IFERROR(INDEX(PROFORMA!$A:$K,ROW()-1-$L$2-$M$2-$N$2+1,5),""),"")))))</f>
        <v>mcq_radio</v>
      </c>
      <c r="F83" s="3">
        <f>IF(ROW()-1&lt;=0,"",IF(ROW()-1&lt;=$L$2,IFERROR(INDEX(MCQ!$A:$K,ROW()-1+1,6),""),IF(ROW()-1&lt;=$L$2+$M$2,IFERROR(INDEX(CLOZE_AB!$A:$K,ROW()-1-$L$2+1,6),""),IF(ROW()-1&lt;=$L$2+$M$2+$N$2,IFERROR(INDEX(CLOZE_LIST!$A:$K,ROW()-1-$L$2-$M$2+1,6),""),IF(ROW()-1&lt;=$L$2+$M$2+$N$2+$O$2,IFERROR(INDEX(PROFORMA!$A:$K,ROW()-1-$L$2-$M$2-$N$2+1,6),""),"")))))</f>
        <v>3</v>
      </c>
      <c r="G83" s="3" t="str">
        <f>IF(ROW()-1&lt;=0,"",IF(ROW()-1&lt;=$L$2,IFERROR(INDEX(MCQ!$A:$K,ROW()-1+1,7),""),IF(ROW()-1&lt;=$L$2+$M$2,IFERROR(INDEX(CLOZE_AB!$A:$K,ROW()-1-$L$2+1,7),""),IF(ROW()-1&lt;=$L$2+$M$2+$N$2,IFERROR(INDEX(CLOZE_LIST!$A:$K,ROW()-1-$L$2-$M$2+1,7),""),IF(ROW()-1&lt;=$L$2+$M$2+$N$2+$O$2,IFERROR(INDEX(PROFORMA!$A:$K,ROW()-1-$L$2-$M$2-$N$2+1,7),""),"")))))</f>
        <v>core</v>
      </c>
      <c r="H83" s="3" t="str">
        <f>IF(ROW()-1&lt;=0,"",IF(ROW()-1&lt;=$L$2,IFERROR(INDEX(MCQ!$A:$K,ROW()-1+1,8),""),IF(ROW()-1&lt;=$L$2+$M$2,IFERROR(INDEX(CLOZE_AB!$A:$K,ROW()-1-$L$2+1,8),""),IF(ROW()-1&lt;=$L$2+$M$2+$N$2,IFERROR(INDEX(CLOZE_LIST!$A:$K,ROW()-1-$L$2-$M$2+1,8),""),IF(ROW()-1&lt;=$L$2+$M$2+$N$2+$O$2,IFERROR(INDEX(PROFORMA!$A:$K,ROW()-1-$L$2-$M$2-$N$2+1,8),""),"")))))</f>
        <v>Y</v>
      </c>
      <c r="I83" s="3" t="str">
        <f>IF(ROW()-1&lt;=0,"",IF(ROW()-1&lt;=$L$2,IFERROR(INDEX(MCQ!$A:$K,ROW()-1+1,9),""),IF(ROW()-1&lt;=$L$2+$M$2,IFERROR(INDEX(CLOZE_AB!$A:$K,ROW()-1-$L$2+1,9),""),IF(ROW()-1&lt;=$L$2+$M$2+$N$2,IFERROR(INDEX(CLOZE_LIST!$A:$K,ROW()-1-$L$2-$M$2+1,9),""),IF(ROW()-1&lt;=$L$2+$M$2+$N$2+$O$2,IFERROR(INDEX(PROFORMA!$A:$K,ROW()-1-$L$2-$M$2-$N$2+1,9),""),"")))))</f>
        <v>deadlines;claims</v>
      </c>
      <c r="J83" s="3" t="str">
        <f>IF(ROW()-1&lt;=0,"",IF(ROW()-1&lt;=$L$2,IFERROR(INDEX(MCQ!$A:$K,ROW()-1+1,10),""),IF(ROW()-1&lt;=$L$2+$M$2,IFERROR(INDEX(CLOZE_AB!$A:$K,ROW()-1-$L$2+1,10),""),IF(ROW()-1&lt;=$L$2+$M$2+$N$2,IFERROR(INDEX(CLOZE_LIST!$A:$K,ROW()-1-$L$2-$M$2+1,10),""),IF(ROW()-1&lt;=$L$2+$M$2+$N$2+$O$2,IFERROR(INDEX(PROFORMA!$A:$K,ROW()-1-$L$2-$M$2-$N$2+1,10),""),"")))))</f>
        <v>user_supplied</v>
      </c>
      <c r="K83" s="3">
        <f>IF(ROW()-1&lt;=0,"",IF(ROW()-1&lt;=$L$2,IFERROR(INDEX(MCQ!$A:$K,ROW()-1+1,11),""),IF(ROW()-1&lt;=$L$2+$M$2,IFERROR(INDEX(CLOZE_AB!$A:$K,ROW()-1-$L$2+1,11),""),IF(ROW()-1&lt;=$L$2+$M$2+$N$2,IFERROR(INDEX(CLOZE_LIST!$A:$K,ROW()-1-$L$2-$M$2+1,11),""),IF(ROW()-1&lt;=$L$2+$M$2+$N$2+$O$2,IFERROR(INDEX(PROFORMA!$A:$K,ROW()-1-$L$2-$M$2-$N$2+1,11),""),"")))))</f>
        <v>1</v>
      </c>
      <c r="L83" s="3">
        <f>COUNTA(MCQ!$A:$A)-1</f>
        <v>122</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MCQ_FR_FILE_TAXDEAD_017</v>
      </c>
      <c r="B84" s="3" t="str">
        <f>IF(ROW()-1&lt;=0,"",IF(ROW()-1&lt;=$L$2,IFERROR(INDEX(MCQ!$A:$K,ROW()-1+1,2),""),IF(ROW()-1&lt;=$L$2+$M$2,IFERROR(INDEX(CLOZE_AB!$A:$K,ROW()-1-$L$2+1,2),""),IF(ROW()-1&lt;=$L$2+$M$2+$N$2,IFERROR(INDEX(CLOZE_LIST!$A:$K,ROW()-1-$L$2-$M$2+1,2),""),IF(ROW()-1&lt;=$L$2+$M$2+$N$2+$O$2,IFERROR(INDEX(PROFORMA!$A:$K,ROW()-1-$L$2-$M$2-$N$2+1,2),""),"")))))</f>
        <v>Filing rules</v>
      </c>
      <c r="C84" s="3" t="str">
        <f>IF(ROW()-1&lt;=0,"",IF(ROW()-1&lt;=$L$2,IFERROR(INDEX(MCQ!$A:$K,ROW()-1+1,3),""),IF(ROW()-1&lt;=$L$2+$M$2,IFERROR(INDEX(CLOZE_AB!$A:$K,ROW()-1-$L$2+1,3),""),IF(ROW()-1&lt;=$L$2+$M$2+$N$2,IFERROR(INDEX(CLOZE_LIST!$A:$K,ROW()-1-$L$2-$M$2+1,3),""),IF(ROW()-1&lt;=$L$2+$M$2+$N$2+$O$2,IFERROR(INDEX(PROFORMA!$A:$K,ROW()-1-$L$2-$M$2-$N$2+1,3),""),"")))))</f>
        <v>filing_requirements</v>
      </c>
      <c r="D84" s="3" t="str">
        <f>IF(ROW()-1&lt;=0,"",IF(ROW()-1&lt;=$L$2,IFERROR(INDEX(MCQ!$A:$K,ROW()-1+1,4),""),IF(ROW()-1&lt;=$L$2+$M$2,IFERROR(INDEX(CLOZE_AB!$A:$K,ROW()-1-$L$2+1,4),""),IF(ROW()-1&lt;=$L$2+$M$2+$N$2,IFERROR(INDEX(CLOZE_LIST!$A:$K,ROW()-1-$L$2-$M$2+1,4),""),IF(ROW()-1&lt;=$L$2+$M$2+$N$2+$O$2,IFERROR(INDEX(PROFORMA!$A:$K,ROW()-1-$L$2-$M$2-$N$2+1,4),""),"")))))</f>
        <v>Filing, payment and claims deadlines</v>
      </c>
      <c r="E84" s="3" t="str">
        <f>IF(ROW()-1&lt;=0,"",IF(ROW()-1&lt;=$L$2,IFERROR(INDEX(MCQ!$A:$K,ROW()-1+1,5),""),IF(ROW()-1&lt;=$L$2+$M$2,IFERROR(INDEX(CLOZE_AB!$A:$K,ROW()-1-$L$2+1,5),""),IF(ROW()-1&lt;=$L$2+$M$2+$N$2,IFERROR(INDEX(CLOZE_LIST!$A:$K,ROW()-1-$L$2-$M$2+1,5),""),IF(ROW()-1&lt;=$L$2+$M$2+$N$2+$O$2,IFERROR(INDEX(PROFORMA!$A:$K,ROW()-1-$L$2-$M$2-$N$2+1,5),""),"")))))</f>
        <v>mcq_radio</v>
      </c>
      <c r="F84" s="3">
        <f>IF(ROW()-1&lt;=0,"",IF(ROW()-1&lt;=$L$2,IFERROR(INDEX(MCQ!$A:$K,ROW()-1+1,6),""),IF(ROW()-1&lt;=$L$2+$M$2,IFERROR(INDEX(CLOZE_AB!$A:$K,ROW()-1-$L$2+1,6),""),IF(ROW()-1&lt;=$L$2+$M$2+$N$2,IFERROR(INDEX(CLOZE_LIST!$A:$K,ROW()-1-$L$2-$M$2+1,6),""),IF(ROW()-1&lt;=$L$2+$M$2+$N$2+$O$2,IFERROR(INDEX(PROFORMA!$A:$K,ROW()-1-$L$2-$M$2-$N$2+1,6),""),"")))))</f>
        <v>3</v>
      </c>
      <c r="G84" s="3" t="str">
        <f>IF(ROW()-1&lt;=0,"",IF(ROW()-1&lt;=$L$2,IFERROR(INDEX(MCQ!$A:$K,ROW()-1+1,7),""),IF(ROW()-1&lt;=$L$2+$M$2,IFERROR(INDEX(CLOZE_AB!$A:$K,ROW()-1-$L$2+1,7),""),IF(ROW()-1&lt;=$L$2+$M$2+$N$2,IFERROR(INDEX(CLOZE_LIST!$A:$K,ROW()-1-$L$2-$M$2+1,7),""),IF(ROW()-1&lt;=$L$2+$M$2+$N$2+$O$2,IFERROR(INDEX(PROFORMA!$A:$K,ROW()-1-$L$2-$M$2-$N$2+1,7),""),"")))))</f>
        <v>core</v>
      </c>
      <c r="H84" s="3" t="str">
        <f>IF(ROW()-1&lt;=0,"",IF(ROW()-1&lt;=$L$2,IFERROR(INDEX(MCQ!$A:$K,ROW()-1+1,8),""),IF(ROW()-1&lt;=$L$2+$M$2,IFERROR(INDEX(CLOZE_AB!$A:$K,ROW()-1-$L$2+1,8),""),IF(ROW()-1&lt;=$L$2+$M$2+$N$2,IFERROR(INDEX(CLOZE_LIST!$A:$K,ROW()-1-$L$2-$M$2+1,8),""),IF(ROW()-1&lt;=$L$2+$M$2+$N$2+$O$2,IFERROR(INDEX(PROFORMA!$A:$K,ROW()-1-$L$2-$M$2-$N$2+1,8),""),"")))))</f>
        <v>Y</v>
      </c>
      <c r="I84" s="3" t="str">
        <f>IF(ROW()-1&lt;=0,"",IF(ROW()-1&lt;=$L$2,IFERROR(INDEX(MCQ!$A:$K,ROW()-1+1,9),""),IF(ROW()-1&lt;=$L$2+$M$2,IFERROR(INDEX(CLOZE_AB!$A:$K,ROW()-1-$L$2+1,9),""),IF(ROW()-1&lt;=$L$2+$M$2+$N$2,IFERROR(INDEX(CLOZE_LIST!$A:$K,ROW()-1-$L$2-$M$2+1,9),""),IF(ROW()-1&lt;=$L$2+$M$2+$N$2+$O$2,IFERROR(INDEX(PROFORMA!$A:$K,ROW()-1-$L$2-$M$2-$N$2+1,9),""),"")))))</f>
        <v>deadlines;claims</v>
      </c>
      <c r="J84" s="3" t="str">
        <f>IF(ROW()-1&lt;=0,"",IF(ROW()-1&lt;=$L$2,IFERROR(INDEX(MCQ!$A:$K,ROW()-1+1,10),""),IF(ROW()-1&lt;=$L$2+$M$2,IFERROR(INDEX(CLOZE_AB!$A:$K,ROW()-1-$L$2+1,10),""),IF(ROW()-1&lt;=$L$2+$M$2+$N$2,IFERROR(INDEX(CLOZE_LIST!$A:$K,ROW()-1-$L$2-$M$2+1,10),""),IF(ROW()-1&lt;=$L$2+$M$2+$N$2+$O$2,IFERROR(INDEX(PROFORMA!$A:$K,ROW()-1-$L$2-$M$2-$N$2+1,10),""),"")))))</f>
        <v>user_supplied</v>
      </c>
      <c r="K84" s="3">
        <f>IF(ROW()-1&lt;=0,"",IF(ROW()-1&lt;=$L$2,IFERROR(INDEX(MCQ!$A:$K,ROW()-1+1,11),""),IF(ROW()-1&lt;=$L$2+$M$2,IFERROR(INDEX(CLOZE_AB!$A:$K,ROW()-1-$L$2+1,11),""),IF(ROW()-1&lt;=$L$2+$M$2+$N$2,IFERROR(INDEX(CLOZE_LIST!$A:$K,ROW()-1-$L$2-$M$2+1,11),""),IF(ROW()-1&lt;=$L$2+$M$2+$N$2+$O$2,IFERROR(INDEX(PROFORMA!$A:$K,ROW()-1-$L$2-$M$2-$N$2+1,11),""),"")))))</f>
        <v>1</v>
      </c>
      <c r="L84" s="3">
        <f>COUNTA(MCQ!$A:$A)-1</f>
        <v>122</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MCQ_FR_FILE_TAXDEAD_018</v>
      </c>
      <c r="B85" s="3" t="str">
        <f>IF(ROW()-1&lt;=0,"",IF(ROW()-1&lt;=$L$2,IFERROR(INDEX(MCQ!$A:$K,ROW()-1+1,2),""),IF(ROW()-1&lt;=$L$2+$M$2,IFERROR(INDEX(CLOZE_AB!$A:$K,ROW()-1-$L$2+1,2),""),IF(ROW()-1&lt;=$L$2+$M$2+$N$2,IFERROR(INDEX(CLOZE_LIST!$A:$K,ROW()-1-$L$2-$M$2+1,2),""),IF(ROW()-1&lt;=$L$2+$M$2+$N$2+$O$2,IFERROR(INDEX(PROFORMA!$A:$K,ROW()-1-$L$2-$M$2-$N$2+1,2),""),"")))))</f>
        <v>Filing rules</v>
      </c>
      <c r="C85" s="3" t="str">
        <f>IF(ROW()-1&lt;=0,"",IF(ROW()-1&lt;=$L$2,IFERROR(INDEX(MCQ!$A:$K,ROW()-1+1,3),""),IF(ROW()-1&lt;=$L$2+$M$2,IFERROR(INDEX(CLOZE_AB!$A:$K,ROW()-1-$L$2+1,3),""),IF(ROW()-1&lt;=$L$2+$M$2+$N$2,IFERROR(INDEX(CLOZE_LIST!$A:$K,ROW()-1-$L$2-$M$2+1,3),""),IF(ROW()-1&lt;=$L$2+$M$2+$N$2+$O$2,IFERROR(INDEX(PROFORMA!$A:$K,ROW()-1-$L$2-$M$2-$N$2+1,3),""),"")))))</f>
        <v>filing_requirements</v>
      </c>
      <c r="D85" s="3" t="str">
        <f>IF(ROW()-1&lt;=0,"",IF(ROW()-1&lt;=$L$2,IFERROR(INDEX(MCQ!$A:$K,ROW()-1+1,4),""),IF(ROW()-1&lt;=$L$2+$M$2,IFERROR(INDEX(CLOZE_AB!$A:$K,ROW()-1-$L$2+1,4),""),IF(ROW()-1&lt;=$L$2+$M$2+$N$2,IFERROR(INDEX(CLOZE_LIST!$A:$K,ROW()-1-$L$2-$M$2+1,4),""),IF(ROW()-1&lt;=$L$2+$M$2+$N$2+$O$2,IFERROR(INDEX(PROFORMA!$A:$K,ROW()-1-$L$2-$M$2-$N$2+1,4),""),"")))))</f>
        <v>Filing, payment and claims deadlines</v>
      </c>
      <c r="E85" s="3" t="str">
        <f>IF(ROW()-1&lt;=0,"",IF(ROW()-1&lt;=$L$2,IFERROR(INDEX(MCQ!$A:$K,ROW()-1+1,5),""),IF(ROW()-1&lt;=$L$2+$M$2,IFERROR(INDEX(CLOZE_AB!$A:$K,ROW()-1-$L$2+1,5),""),IF(ROW()-1&lt;=$L$2+$M$2+$N$2,IFERROR(INDEX(CLOZE_LIST!$A:$K,ROW()-1-$L$2-$M$2+1,5),""),IF(ROW()-1&lt;=$L$2+$M$2+$N$2+$O$2,IFERROR(INDEX(PROFORMA!$A:$K,ROW()-1-$L$2-$M$2-$N$2+1,5),""),"")))))</f>
        <v>mcq_radio</v>
      </c>
      <c r="F85" s="3">
        <f>IF(ROW()-1&lt;=0,"",IF(ROW()-1&lt;=$L$2,IFERROR(INDEX(MCQ!$A:$K,ROW()-1+1,6),""),IF(ROW()-1&lt;=$L$2+$M$2,IFERROR(INDEX(CLOZE_AB!$A:$K,ROW()-1-$L$2+1,6),""),IF(ROW()-1&lt;=$L$2+$M$2+$N$2,IFERROR(INDEX(CLOZE_LIST!$A:$K,ROW()-1-$L$2-$M$2+1,6),""),IF(ROW()-1&lt;=$L$2+$M$2+$N$2+$O$2,IFERROR(INDEX(PROFORMA!$A:$K,ROW()-1-$L$2-$M$2-$N$2+1,6),""),"")))))</f>
        <v>3</v>
      </c>
      <c r="G85" s="3" t="str">
        <f>IF(ROW()-1&lt;=0,"",IF(ROW()-1&lt;=$L$2,IFERROR(INDEX(MCQ!$A:$K,ROW()-1+1,7),""),IF(ROW()-1&lt;=$L$2+$M$2,IFERROR(INDEX(CLOZE_AB!$A:$K,ROW()-1-$L$2+1,7),""),IF(ROW()-1&lt;=$L$2+$M$2+$N$2,IFERROR(INDEX(CLOZE_LIST!$A:$K,ROW()-1-$L$2-$M$2+1,7),""),IF(ROW()-1&lt;=$L$2+$M$2+$N$2+$O$2,IFERROR(INDEX(PROFORMA!$A:$K,ROW()-1-$L$2-$M$2-$N$2+1,7),""),"")))))</f>
        <v>core</v>
      </c>
      <c r="H85" s="3" t="str">
        <f>IF(ROW()-1&lt;=0,"",IF(ROW()-1&lt;=$L$2,IFERROR(INDEX(MCQ!$A:$K,ROW()-1+1,8),""),IF(ROW()-1&lt;=$L$2+$M$2,IFERROR(INDEX(CLOZE_AB!$A:$K,ROW()-1-$L$2+1,8),""),IF(ROW()-1&lt;=$L$2+$M$2+$N$2,IFERROR(INDEX(CLOZE_LIST!$A:$K,ROW()-1-$L$2-$M$2+1,8),""),IF(ROW()-1&lt;=$L$2+$M$2+$N$2+$O$2,IFERROR(INDEX(PROFORMA!$A:$K,ROW()-1-$L$2-$M$2-$N$2+1,8),""),"")))))</f>
        <v>Y</v>
      </c>
      <c r="I85" s="3" t="str">
        <f>IF(ROW()-1&lt;=0,"",IF(ROW()-1&lt;=$L$2,IFERROR(INDEX(MCQ!$A:$K,ROW()-1+1,9),""),IF(ROW()-1&lt;=$L$2+$M$2,IFERROR(INDEX(CLOZE_AB!$A:$K,ROW()-1-$L$2+1,9),""),IF(ROW()-1&lt;=$L$2+$M$2+$N$2,IFERROR(INDEX(CLOZE_LIST!$A:$K,ROW()-1-$L$2-$M$2+1,9),""),IF(ROW()-1&lt;=$L$2+$M$2+$N$2+$O$2,IFERROR(INDEX(PROFORMA!$A:$K,ROW()-1-$L$2-$M$2-$N$2+1,9),""),"")))))</f>
        <v>deadlines;claims</v>
      </c>
      <c r="J85" s="3" t="str">
        <f>IF(ROW()-1&lt;=0,"",IF(ROW()-1&lt;=$L$2,IFERROR(INDEX(MCQ!$A:$K,ROW()-1+1,10),""),IF(ROW()-1&lt;=$L$2+$M$2,IFERROR(INDEX(CLOZE_AB!$A:$K,ROW()-1-$L$2+1,10),""),IF(ROW()-1&lt;=$L$2+$M$2+$N$2,IFERROR(INDEX(CLOZE_LIST!$A:$K,ROW()-1-$L$2-$M$2+1,10),""),IF(ROW()-1&lt;=$L$2+$M$2+$N$2+$O$2,IFERROR(INDEX(PROFORMA!$A:$K,ROW()-1-$L$2-$M$2-$N$2+1,10),""),"")))))</f>
        <v>user_supplied</v>
      </c>
      <c r="K85" s="3">
        <f>IF(ROW()-1&lt;=0,"",IF(ROW()-1&lt;=$L$2,IFERROR(INDEX(MCQ!$A:$K,ROW()-1+1,11),""),IF(ROW()-1&lt;=$L$2+$M$2,IFERROR(INDEX(CLOZE_AB!$A:$K,ROW()-1-$L$2+1,11),""),IF(ROW()-1&lt;=$L$2+$M$2+$N$2,IFERROR(INDEX(CLOZE_LIST!$A:$K,ROW()-1-$L$2-$M$2+1,11),""),IF(ROW()-1&lt;=$L$2+$M$2+$N$2+$O$2,IFERROR(INDEX(PROFORMA!$A:$K,ROW()-1-$L$2-$M$2-$N$2+1,11),""),"")))))</f>
        <v>1</v>
      </c>
      <c r="L85" s="3">
        <f>COUNTA(MCQ!$A:$A)-1</f>
        <v>122</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MCQ_FR_FILE_TAXDEAD_019</v>
      </c>
      <c r="B86" s="3" t="str">
        <f>IF(ROW()-1&lt;=0,"",IF(ROW()-1&lt;=$L$2,IFERROR(INDEX(MCQ!$A:$K,ROW()-1+1,2),""),IF(ROW()-1&lt;=$L$2+$M$2,IFERROR(INDEX(CLOZE_AB!$A:$K,ROW()-1-$L$2+1,2),""),IF(ROW()-1&lt;=$L$2+$M$2+$N$2,IFERROR(INDEX(CLOZE_LIST!$A:$K,ROW()-1-$L$2-$M$2+1,2),""),IF(ROW()-1&lt;=$L$2+$M$2+$N$2+$O$2,IFERROR(INDEX(PROFORMA!$A:$K,ROW()-1-$L$2-$M$2-$N$2+1,2),""),"")))))</f>
        <v>Filing rules</v>
      </c>
      <c r="C86" s="3" t="str">
        <f>IF(ROW()-1&lt;=0,"",IF(ROW()-1&lt;=$L$2,IFERROR(INDEX(MCQ!$A:$K,ROW()-1+1,3),""),IF(ROW()-1&lt;=$L$2+$M$2,IFERROR(INDEX(CLOZE_AB!$A:$K,ROW()-1-$L$2+1,3),""),IF(ROW()-1&lt;=$L$2+$M$2+$N$2,IFERROR(INDEX(CLOZE_LIST!$A:$K,ROW()-1-$L$2-$M$2+1,3),""),IF(ROW()-1&lt;=$L$2+$M$2+$N$2+$O$2,IFERROR(INDEX(PROFORMA!$A:$K,ROW()-1-$L$2-$M$2-$N$2+1,3),""),"")))))</f>
        <v>filing_requirements</v>
      </c>
      <c r="D86" s="3" t="str">
        <f>IF(ROW()-1&lt;=0,"",IF(ROW()-1&lt;=$L$2,IFERROR(INDEX(MCQ!$A:$K,ROW()-1+1,4),""),IF(ROW()-1&lt;=$L$2+$M$2,IFERROR(INDEX(CLOZE_AB!$A:$K,ROW()-1-$L$2+1,4),""),IF(ROW()-1&lt;=$L$2+$M$2+$N$2,IFERROR(INDEX(CLOZE_LIST!$A:$K,ROW()-1-$L$2-$M$2+1,4),""),IF(ROW()-1&lt;=$L$2+$M$2+$N$2+$O$2,IFERROR(INDEX(PROFORMA!$A:$K,ROW()-1-$L$2-$M$2-$N$2+1,4),""),"")))))</f>
        <v>Filing, payment and claims deadlines</v>
      </c>
      <c r="E86" s="3" t="str">
        <f>IF(ROW()-1&lt;=0,"",IF(ROW()-1&lt;=$L$2,IFERROR(INDEX(MCQ!$A:$K,ROW()-1+1,5),""),IF(ROW()-1&lt;=$L$2+$M$2,IFERROR(INDEX(CLOZE_AB!$A:$K,ROW()-1-$L$2+1,5),""),IF(ROW()-1&lt;=$L$2+$M$2+$N$2,IFERROR(INDEX(CLOZE_LIST!$A:$K,ROW()-1-$L$2-$M$2+1,5),""),IF(ROW()-1&lt;=$L$2+$M$2+$N$2+$O$2,IFERROR(INDEX(PROFORMA!$A:$K,ROW()-1-$L$2-$M$2-$N$2+1,5),""),"")))))</f>
        <v>mcq_radio</v>
      </c>
      <c r="F86" s="3">
        <f>IF(ROW()-1&lt;=0,"",IF(ROW()-1&lt;=$L$2,IFERROR(INDEX(MCQ!$A:$K,ROW()-1+1,6),""),IF(ROW()-1&lt;=$L$2+$M$2,IFERROR(INDEX(CLOZE_AB!$A:$K,ROW()-1-$L$2+1,6),""),IF(ROW()-1&lt;=$L$2+$M$2+$N$2,IFERROR(INDEX(CLOZE_LIST!$A:$K,ROW()-1-$L$2-$M$2+1,6),""),IF(ROW()-1&lt;=$L$2+$M$2+$N$2+$O$2,IFERROR(INDEX(PROFORMA!$A:$K,ROW()-1-$L$2-$M$2-$N$2+1,6),""),"")))))</f>
        <v>3</v>
      </c>
      <c r="G86" s="3" t="str">
        <f>IF(ROW()-1&lt;=0,"",IF(ROW()-1&lt;=$L$2,IFERROR(INDEX(MCQ!$A:$K,ROW()-1+1,7),""),IF(ROW()-1&lt;=$L$2+$M$2,IFERROR(INDEX(CLOZE_AB!$A:$K,ROW()-1-$L$2+1,7),""),IF(ROW()-1&lt;=$L$2+$M$2+$N$2,IFERROR(INDEX(CLOZE_LIST!$A:$K,ROW()-1-$L$2-$M$2+1,7),""),IF(ROW()-1&lt;=$L$2+$M$2+$N$2+$O$2,IFERROR(INDEX(PROFORMA!$A:$K,ROW()-1-$L$2-$M$2-$N$2+1,7),""),"")))))</f>
        <v>core</v>
      </c>
      <c r="H86" s="3" t="str">
        <f>IF(ROW()-1&lt;=0,"",IF(ROW()-1&lt;=$L$2,IFERROR(INDEX(MCQ!$A:$K,ROW()-1+1,8),""),IF(ROW()-1&lt;=$L$2+$M$2,IFERROR(INDEX(CLOZE_AB!$A:$K,ROW()-1-$L$2+1,8),""),IF(ROW()-1&lt;=$L$2+$M$2+$N$2,IFERROR(INDEX(CLOZE_LIST!$A:$K,ROW()-1-$L$2-$M$2+1,8),""),IF(ROW()-1&lt;=$L$2+$M$2+$N$2+$O$2,IFERROR(INDEX(PROFORMA!$A:$K,ROW()-1-$L$2-$M$2-$N$2+1,8),""),"")))))</f>
        <v>Y</v>
      </c>
      <c r="I86" s="3" t="str">
        <f>IF(ROW()-1&lt;=0,"",IF(ROW()-1&lt;=$L$2,IFERROR(INDEX(MCQ!$A:$K,ROW()-1+1,9),""),IF(ROW()-1&lt;=$L$2+$M$2,IFERROR(INDEX(CLOZE_AB!$A:$K,ROW()-1-$L$2+1,9),""),IF(ROW()-1&lt;=$L$2+$M$2+$N$2,IFERROR(INDEX(CLOZE_LIST!$A:$K,ROW()-1-$L$2-$M$2+1,9),""),IF(ROW()-1&lt;=$L$2+$M$2+$N$2+$O$2,IFERROR(INDEX(PROFORMA!$A:$K,ROW()-1-$L$2-$M$2-$N$2+1,9),""),"")))))</f>
        <v>deadlines;claims</v>
      </c>
      <c r="J86" s="3" t="str">
        <f>IF(ROW()-1&lt;=0,"",IF(ROW()-1&lt;=$L$2,IFERROR(INDEX(MCQ!$A:$K,ROW()-1+1,10),""),IF(ROW()-1&lt;=$L$2+$M$2,IFERROR(INDEX(CLOZE_AB!$A:$K,ROW()-1-$L$2+1,10),""),IF(ROW()-1&lt;=$L$2+$M$2+$N$2,IFERROR(INDEX(CLOZE_LIST!$A:$K,ROW()-1-$L$2-$M$2+1,10),""),IF(ROW()-1&lt;=$L$2+$M$2+$N$2+$O$2,IFERROR(INDEX(PROFORMA!$A:$K,ROW()-1-$L$2-$M$2-$N$2+1,10),""),"")))))</f>
        <v>user_supplied</v>
      </c>
      <c r="K86" s="3">
        <f>IF(ROW()-1&lt;=0,"",IF(ROW()-1&lt;=$L$2,IFERROR(INDEX(MCQ!$A:$K,ROW()-1+1,11),""),IF(ROW()-1&lt;=$L$2+$M$2,IFERROR(INDEX(CLOZE_AB!$A:$K,ROW()-1-$L$2+1,11),""),IF(ROW()-1&lt;=$L$2+$M$2+$N$2,IFERROR(INDEX(CLOZE_LIST!$A:$K,ROW()-1-$L$2-$M$2+1,11),""),IF(ROW()-1&lt;=$L$2+$M$2+$N$2+$O$2,IFERROR(INDEX(PROFORMA!$A:$K,ROW()-1-$L$2-$M$2-$N$2+1,11),""),"")))))</f>
        <v>1</v>
      </c>
      <c r="L86" s="3">
        <f>COUNTA(MCQ!$A:$A)-1</f>
        <v>122</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MCQ_FR_FILE_TAXDEAD_020</v>
      </c>
      <c r="B87" s="3" t="str">
        <f>IF(ROW()-1&lt;=0,"",IF(ROW()-1&lt;=$L$2,IFERROR(INDEX(MCQ!$A:$K,ROW()-1+1,2),""),IF(ROW()-1&lt;=$L$2+$M$2,IFERROR(INDEX(CLOZE_AB!$A:$K,ROW()-1-$L$2+1,2),""),IF(ROW()-1&lt;=$L$2+$M$2+$N$2,IFERROR(INDEX(CLOZE_LIST!$A:$K,ROW()-1-$L$2-$M$2+1,2),""),IF(ROW()-1&lt;=$L$2+$M$2+$N$2+$O$2,IFERROR(INDEX(PROFORMA!$A:$K,ROW()-1-$L$2-$M$2-$N$2+1,2),""),"")))))</f>
        <v>Filing rules</v>
      </c>
      <c r="C87" s="3" t="str">
        <f>IF(ROW()-1&lt;=0,"",IF(ROW()-1&lt;=$L$2,IFERROR(INDEX(MCQ!$A:$K,ROW()-1+1,3),""),IF(ROW()-1&lt;=$L$2+$M$2,IFERROR(INDEX(CLOZE_AB!$A:$K,ROW()-1-$L$2+1,3),""),IF(ROW()-1&lt;=$L$2+$M$2+$N$2,IFERROR(INDEX(CLOZE_LIST!$A:$K,ROW()-1-$L$2-$M$2+1,3),""),IF(ROW()-1&lt;=$L$2+$M$2+$N$2+$O$2,IFERROR(INDEX(PROFORMA!$A:$K,ROW()-1-$L$2-$M$2-$N$2+1,3),""),"")))))</f>
        <v>filing_requirements</v>
      </c>
      <c r="D87" s="3" t="str">
        <f>IF(ROW()-1&lt;=0,"",IF(ROW()-1&lt;=$L$2,IFERROR(INDEX(MCQ!$A:$K,ROW()-1+1,4),""),IF(ROW()-1&lt;=$L$2+$M$2,IFERROR(INDEX(CLOZE_AB!$A:$K,ROW()-1-$L$2+1,4),""),IF(ROW()-1&lt;=$L$2+$M$2+$N$2,IFERROR(INDEX(CLOZE_LIST!$A:$K,ROW()-1-$L$2-$M$2+1,4),""),IF(ROW()-1&lt;=$L$2+$M$2+$N$2+$O$2,IFERROR(INDEX(PROFORMA!$A:$K,ROW()-1-$L$2-$M$2-$N$2+1,4),""),"")))))</f>
        <v>Filing, payment and claims deadlines</v>
      </c>
      <c r="E87" s="3" t="str">
        <f>IF(ROW()-1&lt;=0,"",IF(ROW()-1&lt;=$L$2,IFERROR(INDEX(MCQ!$A:$K,ROW()-1+1,5),""),IF(ROW()-1&lt;=$L$2+$M$2,IFERROR(INDEX(CLOZE_AB!$A:$K,ROW()-1-$L$2+1,5),""),IF(ROW()-1&lt;=$L$2+$M$2+$N$2,IFERROR(INDEX(CLOZE_LIST!$A:$K,ROW()-1-$L$2-$M$2+1,5),""),IF(ROW()-1&lt;=$L$2+$M$2+$N$2+$O$2,IFERROR(INDEX(PROFORMA!$A:$K,ROW()-1-$L$2-$M$2-$N$2+1,5),""),"")))))</f>
        <v>mcq_radio</v>
      </c>
      <c r="F87" s="3">
        <f>IF(ROW()-1&lt;=0,"",IF(ROW()-1&lt;=$L$2,IFERROR(INDEX(MCQ!$A:$K,ROW()-1+1,6),""),IF(ROW()-1&lt;=$L$2+$M$2,IFERROR(INDEX(CLOZE_AB!$A:$K,ROW()-1-$L$2+1,6),""),IF(ROW()-1&lt;=$L$2+$M$2+$N$2,IFERROR(INDEX(CLOZE_LIST!$A:$K,ROW()-1-$L$2-$M$2+1,6),""),IF(ROW()-1&lt;=$L$2+$M$2+$N$2+$O$2,IFERROR(INDEX(PROFORMA!$A:$K,ROW()-1-$L$2-$M$2-$N$2+1,6),""),"")))))</f>
        <v>3</v>
      </c>
      <c r="G87" s="3" t="str">
        <f>IF(ROW()-1&lt;=0,"",IF(ROW()-1&lt;=$L$2,IFERROR(INDEX(MCQ!$A:$K,ROW()-1+1,7),""),IF(ROW()-1&lt;=$L$2+$M$2,IFERROR(INDEX(CLOZE_AB!$A:$K,ROW()-1-$L$2+1,7),""),IF(ROW()-1&lt;=$L$2+$M$2+$N$2,IFERROR(INDEX(CLOZE_LIST!$A:$K,ROW()-1-$L$2-$M$2+1,7),""),IF(ROW()-1&lt;=$L$2+$M$2+$N$2+$O$2,IFERROR(INDEX(PROFORMA!$A:$K,ROW()-1-$L$2-$M$2-$N$2+1,7),""),"")))))</f>
        <v>core</v>
      </c>
      <c r="H87" s="3" t="str">
        <f>IF(ROW()-1&lt;=0,"",IF(ROW()-1&lt;=$L$2,IFERROR(INDEX(MCQ!$A:$K,ROW()-1+1,8),""),IF(ROW()-1&lt;=$L$2+$M$2,IFERROR(INDEX(CLOZE_AB!$A:$K,ROW()-1-$L$2+1,8),""),IF(ROW()-1&lt;=$L$2+$M$2+$N$2,IFERROR(INDEX(CLOZE_LIST!$A:$K,ROW()-1-$L$2-$M$2+1,8),""),IF(ROW()-1&lt;=$L$2+$M$2+$N$2+$O$2,IFERROR(INDEX(PROFORMA!$A:$K,ROW()-1-$L$2-$M$2-$N$2+1,8),""),"")))))</f>
        <v>Y</v>
      </c>
      <c r="I87" s="3" t="str">
        <f>IF(ROW()-1&lt;=0,"",IF(ROW()-1&lt;=$L$2,IFERROR(INDEX(MCQ!$A:$K,ROW()-1+1,9),""),IF(ROW()-1&lt;=$L$2+$M$2,IFERROR(INDEX(CLOZE_AB!$A:$K,ROW()-1-$L$2+1,9),""),IF(ROW()-1&lt;=$L$2+$M$2+$N$2,IFERROR(INDEX(CLOZE_LIST!$A:$K,ROW()-1-$L$2-$M$2+1,9),""),IF(ROW()-1&lt;=$L$2+$M$2+$N$2+$O$2,IFERROR(INDEX(PROFORMA!$A:$K,ROW()-1-$L$2-$M$2-$N$2+1,9),""),"")))))</f>
        <v>deadlines;claims</v>
      </c>
      <c r="J87" s="3" t="str">
        <f>IF(ROW()-1&lt;=0,"",IF(ROW()-1&lt;=$L$2,IFERROR(INDEX(MCQ!$A:$K,ROW()-1+1,10),""),IF(ROW()-1&lt;=$L$2+$M$2,IFERROR(INDEX(CLOZE_AB!$A:$K,ROW()-1-$L$2+1,10),""),IF(ROW()-1&lt;=$L$2+$M$2+$N$2,IFERROR(INDEX(CLOZE_LIST!$A:$K,ROW()-1-$L$2-$M$2+1,10),""),IF(ROW()-1&lt;=$L$2+$M$2+$N$2+$O$2,IFERROR(INDEX(PROFORMA!$A:$K,ROW()-1-$L$2-$M$2-$N$2+1,10),""),"")))))</f>
        <v>user_supplied</v>
      </c>
      <c r="K87" s="3">
        <f>IF(ROW()-1&lt;=0,"",IF(ROW()-1&lt;=$L$2,IFERROR(INDEX(MCQ!$A:$K,ROW()-1+1,11),""),IF(ROW()-1&lt;=$L$2+$M$2,IFERROR(INDEX(CLOZE_AB!$A:$K,ROW()-1-$L$2+1,11),""),IF(ROW()-1&lt;=$L$2+$M$2+$N$2,IFERROR(INDEX(CLOZE_LIST!$A:$K,ROW()-1-$L$2-$M$2+1,11),""),IF(ROW()-1&lt;=$L$2+$M$2+$N$2+$O$2,IFERROR(INDEX(PROFORMA!$A:$K,ROW()-1-$L$2-$M$2-$N$2+1,11),""),"")))))</f>
        <v>1</v>
      </c>
      <c r="L87" s="3">
        <f>COUNTA(MCQ!$A:$A)-1</f>
        <v>122</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MCQ_FR_FILE_TAXDEAD_021</v>
      </c>
      <c r="B88" s="3" t="str">
        <f>IF(ROW()-1&lt;=0,"",IF(ROW()-1&lt;=$L$2,IFERROR(INDEX(MCQ!$A:$K,ROW()-1+1,2),""),IF(ROW()-1&lt;=$L$2+$M$2,IFERROR(INDEX(CLOZE_AB!$A:$K,ROW()-1-$L$2+1,2),""),IF(ROW()-1&lt;=$L$2+$M$2+$N$2,IFERROR(INDEX(CLOZE_LIST!$A:$K,ROW()-1-$L$2-$M$2+1,2),""),IF(ROW()-1&lt;=$L$2+$M$2+$N$2+$O$2,IFERROR(INDEX(PROFORMA!$A:$K,ROW()-1-$L$2-$M$2-$N$2+1,2),""),"")))))</f>
        <v>Filing rules</v>
      </c>
      <c r="C88" s="3" t="str">
        <f>IF(ROW()-1&lt;=0,"",IF(ROW()-1&lt;=$L$2,IFERROR(INDEX(MCQ!$A:$K,ROW()-1+1,3),""),IF(ROW()-1&lt;=$L$2+$M$2,IFERROR(INDEX(CLOZE_AB!$A:$K,ROW()-1-$L$2+1,3),""),IF(ROW()-1&lt;=$L$2+$M$2+$N$2,IFERROR(INDEX(CLOZE_LIST!$A:$K,ROW()-1-$L$2-$M$2+1,3),""),IF(ROW()-1&lt;=$L$2+$M$2+$N$2+$O$2,IFERROR(INDEX(PROFORMA!$A:$K,ROW()-1-$L$2-$M$2-$N$2+1,3),""),"")))))</f>
        <v>filing_requirements</v>
      </c>
      <c r="D88" s="3" t="str">
        <f>IF(ROW()-1&lt;=0,"",IF(ROW()-1&lt;=$L$2,IFERROR(INDEX(MCQ!$A:$K,ROW()-1+1,4),""),IF(ROW()-1&lt;=$L$2+$M$2,IFERROR(INDEX(CLOZE_AB!$A:$K,ROW()-1-$L$2+1,4),""),IF(ROW()-1&lt;=$L$2+$M$2+$N$2,IFERROR(INDEX(CLOZE_LIST!$A:$K,ROW()-1-$L$2-$M$2+1,4),""),IF(ROW()-1&lt;=$L$2+$M$2+$N$2+$O$2,IFERROR(INDEX(PROFORMA!$A:$K,ROW()-1-$L$2-$M$2-$N$2+1,4),""),"")))))</f>
        <v>Filing, payment and claims deadlines</v>
      </c>
      <c r="E88" s="3" t="str">
        <f>IF(ROW()-1&lt;=0,"",IF(ROW()-1&lt;=$L$2,IFERROR(INDEX(MCQ!$A:$K,ROW()-1+1,5),""),IF(ROW()-1&lt;=$L$2+$M$2,IFERROR(INDEX(CLOZE_AB!$A:$K,ROW()-1-$L$2+1,5),""),IF(ROW()-1&lt;=$L$2+$M$2+$N$2,IFERROR(INDEX(CLOZE_LIST!$A:$K,ROW()-1-$L$2-$M$2+1,5),""),IF(ROW()-1&lt;=$L$2+$M$2+$N$2+$O$2,IFERROR(INDEX(PROFORMA!$A:$K,ROW()-1-$L$2-$M$2-$N$2+1,5),""),"")))))</f>
        <v>mcq_radio</v>
      </c>
      <c r="F88" s="3">
        <f>IF(ROW()-1&lt;=0,"",IF(ROW()-1&lt;=$L$2,IFERROR(INDEX(MCQ!$A:$K,ROW()-1+1,6),""),IF(ROW()-1&lt;=$L$2+$M$2,IFERROR(INDEX(CLOZE_AB!$A:$K,ROW()-1-$L$2+1,6),""),IF(ROW()-1&lt;=$L$2+$M$2+$N$2,IFERROR(INDEX(CLOZE_LIST!$A:$K,ROW()-1-$L$2-$M$2+1,6),""),IF(ROW()-1&lt;=$L$2+$M$2+$N$2+$O$2,IFERROR(INDEX(PROFORMA!$A:$K,ROW()-1-$L$2-$M$2-$N$2+1,6),""),"")))))</f>
        <v>3</v>
      </c>
      <c r="G88" s="3" t="str">
        <f>IF(ROW()-1&lt;=0,"",IF(ROW()-1&lt;=$L$2,IFERROR(INDEX(MCQ!$A:$K,ROW()-1+1,7),""),IF(ROW()-1&lt;=$L$2+$M$2,IFERROR(INDEX(CLOZE_AB!$A:$K,ROW()-1-$L$2+1,7),""),IF(ROW()-1&lt;=$L$2+$M$2+$N$2,IFERROR(INDEX(CLOZE_LIST!$A:$K,ROW()-1-$L$2-$M$2+1,7),""),IF(ROW()-1&lt;=$L$2+$M$2+$N$2+$O$2,IFERROR(INDEX(PROFORMA!$A:$K,ROW()-1-$L$2-$M$2-$N$2+1,7),""),"")))))</f>
        <v>core</v>
      </c>
      <c r="H88" s="3" t="str">
        <f>IF(ROW()-1&lt;=0,"",IF(ROW()-1&lt;=$L$2,IFERROR(INDEX(MCQ!$A:$K,ROW()-1+1,8),""),IF(ROW()-1&lt;=$L$2+$M$2,IFERROR(INDEX(CLOZE_AB!$A:$K,ROW()-1-$L$2+1,8),""),IF(ROW()-1&lt;=$L$2+$M$2+$N$2,IFERROR(INDEX(CLOZE_LIST!$A:$K,ROW()-1-$L$2-$M$2+1,8),""),IF(ROW()-1&lt;=$L$2+$M$2+$N$2+$O$2,IFERROR(INDEX(PROFORMA!$A:$K,ROW()-1-$L$2-$M$2-$N$2+1,8),""),"")))))</f>
        <v>Y</v>
      </c>
      <c r="I88" s="3" t="str">
        <f>IF(ROW()-1&lt;=0,"",IF(ROW()-1&lt;=$L$2,IFERROR(INDEX(MCQ!$A:$K,ROW()-1+1,9),""),IF(ROW()-1&lt;=$L$2+$M$2,IFERROR(INDEX(CLOZE_AB!$A:$K,ROW()-1-$L$2+1,9),""),IF(ROW()-1&lt;=$L$2+$M$2+$N$2,IFERROR(INDEX(CLOZE_LIST!$A:$K,ROW()-1-$L$2-$M$2+1,9),""),IF(ROW()-1&lt;=$L$2+$M$2+$N$2+$O$2,IFERROR(INDEX(PROFORMA!$A:$K,ROW()-1-$L$2-$M$2-$N$2+1,9),""),"")))))</f>
        <v>deadlines;claims</v>
      </c>
      <c r="J88" s="3" t="str">
        <f>IF(ROW()-1&lt;=0,"",IF(ROW()-1&lt;=$L$2,IFERROR(INDEX(MCQ!$A:$K,ROW()-1+1,10),""),IF(ROW()-1&lt;=$L$2+$M$2,IFERROR(INDEX(CLOZE_AB!$A:$K,ROW()-1-$L$2+1,10),""),IF(ROW()-1&lt;=$L$2+$M$2+$N$2,IFERROR(INDEX(CLOZE_LIST!$A:$K,ROW()-1-$L$2-$M$2+1,10),""),IF(ROW()-1&lt;=$L$2+$M$2+$N$2+$O$2,IFERROR(INDEX(PROFORMA!$A:$K,ROW()-1-$L$2-$M$2-$N$2+1,10),""),"")))))</f>
        <v>user_supplied</v>
      </c>
      <c r="K88" s="3">
        <f>IF(ROW()-1&lt;=0,"",IF(ROW()-1&lt;=$L$2,IFERROR(INDEX(MCQ!$A:$K,ROW()-1+1,11),""),IF(ROW()-1&lt;=$L$2+$M$2,IFERROR(INDEX(CLOZE_AB!$A:$K,ROW()-1-$L$2+1,11),""),IF(ROW()-1&lt;=$L$2+$M$2+$N$2,IFERROR(INDEX(CLOZE_LIST!$A:$K,ROW()-1-$L$2-$M$2+1,11),""),IF(ROW()-1&lt;=$L$2+$M$2+$N$2+$O$2,IFERROR(INDEX(PROFORMA!$A:$K,ROW()-1-$L$2-$M$2-$N$2+1,11),""),"")))))</f>
        <v>1</v>
      </c>
      <c r="L88" s="3">
        <f>COUNTA(MCQ!$A:$A)-1</f>
        <v>122</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MCQ_FR_FILE_TAXDEAD_022</v>
      </c>
      <c r="B89" s="3" t="str">
        <f>IF(ROW()-1&lt;=0,"",IF(ROW()-1&lt;=$L$2,IFERROR(INDEX(MCQ!$A:$K,ROW()-1+1,2),""),IF(ROW()-1&lt;=$L$2+$M$2,IFERROR(INDEX(CLOZE_AB!$A:$K,ROW()-1-$L$2+1,2),""),IF(ROW()-1&lt;=$L$2+$M$2+$N$2,IFERROR(INDEX(CLOZE_LIST!$A:$K,ROW()-1-$L$2-$M$2+1,2),""),IF(ROW()-1&lt;=$L$2+$M$2+$N$2+$O$2,IFERROR(INDEX(PROFORMA!$A:$K,ROW()-1-$L$2-$M$2-$N$2+1,2),""),"")))))</f>
        <v>Filing rules</v>
      </c>
      <c r="C89" s="3" t="str">
        <f>IF(ROW()-1&lt;=0,"",IF(ROW()-1&lt;=$L$2,IFERROR(INDEX(MCQ!$A:$K,ROW()-1+1,3),""),IF(ROW()-1&lt;=$L$2+$M$2,IFERROR(INDEX(CLOZE_AB!$A:$K,ROW()-1-$L$2+1,3),""),IF(ROW()-1&lt;=$L$2+$M$2+$N$2,IFERROR(INDEX(CLOZE_LIST!$A:$K,ROW()-1-$L$2-$M$2+1,3),""),IF(ROW()-1&lt;=$L$2+$M$2+$N$2+$O$2,IFERROR(INDEX(PROFORMA!$A:$K,ROW()-1-$L$2-$M$2-$N$2+1,3),""),"")))))</f>
        <v>filing_requirements</v>
      </c>
      <c r="D89" s="3" t="str">
        <f>IF(ROW()-1&lt;=0,"",IF(ROW()-1&lt;=$L$2,IFERROR(INDEX(MCQ!$A:$K,ROW()-1+1,4),""),IF(ROW()-1&lt;=$L$2+$M$2,IFERROR(INDEX(CLOZE_AB!$A:$K,ROW()-1-$L$2+1,4),""),IF(ROW()-1&lt;=$L$2+$M$2+$N$2,IFERROR(INDEX(CLOZE_LIST!$A:$K,ROW()-1-$L$2-$M$2+1,4),""),IF(ROW()-1&lt;=$L$2+$M$2+$N$2+$O$2,IFERROR(INDEX(PROFORMA!$A:$K,ROW()-1-$L$2-$M$2-$N$2+1,4),""),"")))))</f>
        <v>Filing, payment and claims deadlines</v>
      </c>
      <c r="E89" s="3" t="str">
        <f>IF(ROW()-1&lt;=0,"",IF(ROW()-1&lt;=$L$2,IFERROR(INDEX(MCQ!$A:$K,ROW()-1+1,5),""),IF(ROW()-1&lt;=$L$2+$M$2,IFERROR(INDEX(CLOZE_AB!$A:$K,ROW()-1-$L$2+1,5),""),IF(ROW()-1&lt;=$L$2+$M$2+$N$2,IFERROR(INDEX(CLOZE_LIST!$A:$K,ROW()-1-$L$2-$M$2+1,5),""),IF(ROW()-1&lt;=$L$2+$M$2+$N$2+$O$2,IFERROR(INDEX(PROFORMA!$A:$K,ROW()-1-$L$2-$M$2-$N$2+1,5),""),"")))))</f>
        <v>mcq_radio</v>
      </c>
      <c r="F89" s="3">
        <f>IF(ROW()-1&lt;=0,"",IF(ROW()-1&lt;=$L$2,IFERROR(INDEX(MCQ!$A:$K,ROW()-1+1,6),""),IF(ROW()-1&lt;=$L$2+$M$2,IFERROR(INDEX(CLOZE_AB!$A:$K,ROW()-1-$L$2+1,6),""),IF(ROW()-1&lt;=$L$2+$M$2+$N$2,IFERROR(INDEX(CLOZE_LIST!$A:$K,ROW()-1-$L$2-$M$2+1,6),""),IF(ROW()-1&lt;=$L$2+$M$2+$N$2+$O$2,IFERROR(INDEX(PROFORMA!$A:$K,ROW()-1-$L$2-$M$2-$N$2+1,6),""),"")))))</f>
        <v>3</v>
      </c>
      <c r="G89" s="3" t="str">
        <f>IF(ROW()-1&lt;=0,"",IF(ROW()-1&lt;=$L$2,IFERROR(INDEX(MCQ!$A:$K,ROW()-1+1,7),""),IF(ROW()-1&lt;=$L$2+$M$2,IFERROR(INDEX(CLOZE_AB!$A:$K,ROW()-1-$L$2+1,7),""),IF(ROW()-1&lt;=$L$2+$M$2+$N$2,IFERROR(INDEX(CLOZE_LIST!$A:$K,ROW()-1-$L$2-$M$2+1,7),""),IF(ROW()-1&lt;=$L$2+$M$2+$N$2+$O$2,IFERROR(INDEX(PROFORMA!$A:$K,ROW()-1-$L$2-$M$2-$N$2+1,7),""),"")))))</f>
        <v>core</v>
      </c>
      <c r="H89" s="3" t="str">
        <f>IF(ROW()-1&lt;=0,"",IF(ROW()-1&lt;=$L$2,IFERROR(INDEX(MCQ!$A:$K,ROW()-1+1,8),""),IF(ROW()-1&lt;=$L$2+$M$2,IFERROR(INDEX(CLOZE_AB!$A:$K,ROW()-1-$L$2+1,8),""),IF(ROW()-1&lt;=$L$2+$M$2+$N$2,IFERROR(INDEX(CLOZE_LIST!$A:$K,ROW()-1-$L$2-$M$2+1,8),""),IF(ROW()-1&lt;=$L$2+$M$2+$N$2+$O$2,IFERROR(INDEX(PROFORMA!$A:$K,ROW()-1-$L$2-$M$2-$N$2+1,8),""),"")))))</f>
        <v>Y</v>
      </c>
      <c r="I89" s="3" t="str">
        <f>IF(ROW()-1&lt;=0,"",IF(ROW()-1&lt;=$L$2,IFERROR(INDEX(MCQ!$A:$K,ROW()-1+1,9),""),IF(ROW()-1&lt;=$L$2+$M$2,IFERROR(INDEX(CLOZE_AB!$A:$K,ROW()-1-$L$2+1,9),""),IF(ROW()-1&lt;=$L$2+$M$2+$N$2,IFERROR(INDEX(CLOZE_LIST!$A:$K,ROW()-1-$L$2-$M$2+1,9),""),IF(ROW()-1&lt;=$L$2+$M$2+$N$2+$O$2,IFERROR(INDEX(PROFORMA!$A:$K,ROW()-1-$L$2-$M$2-$N$2+1,9),""),"")))))</f>
        <v>deadlines;claims</v>
      </c>
      <c r="J89" s="3" t="str">
        <f>IF(ROW()-1&lt;=0,"",IF(ROW()-1&lt;=$L$2,IFERROR(INDEX(MCQ!$A:$K,ROW()-1+1,10),""),IF(ROW()-1&lt;=$L$2+$M$2,IFERROR(INDEX(CLOZE_AB!$A:$K,ROW()-1-$L$2+1,10),""),IF(ROW()-1&lt;=$L$2+$M$2+$N$2,IFERROR(INDEX(CLOZE_LIST!$A:$K,ROW()-1-$L$2-$M$2+1,10),""),IF(ROW()-1&lt;=$L$2+$M$2+$N$2+$O$2,IFERROR(INDEX(PROFORMA!$A:$K,ROW()-1-$L$2-$M$2-$N$2+1,10),""),"")))))</f>
        <v>user_supplied</v>
      </c>
      <c r="K89" s="3">
        <f>IF(ROW()-1&lt;=0,"",IF(ROW()-1&lt;=$L$2,IFERROR(INDEX(MCQ!$A:$K,ROW()-1+1,11),""),IF(ROW()-1&lt;=$L$2+$M$2,IFERROR(INDEX(CLOZE_AB!$A:$K,ROW()-1-$L$2+1,11),""),IF(ROW()-1&lt;=$L$2+$M$2+$N$2,IFERROR(INDEX(CLOZE_LIST!$A:$K,ROW()-1-$L$2-$M$2+1,11),""),IF(ROW()-1&lt;=$L$2+$M$2+$N$2+$O$2,IFERROR(INDEX(PROFORMA!$A:$K,ROW()-1-$L$2-$M$2-$N$2+1,11),""),"")))))</f>
        <v>1</v>
      </c>
      <c r="L89" s="3">
        <f>COUNTA(MCQ!$A:$A)-1</f>
        <v>122</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MCQ_FR_FILE_TAXDEAD_023</v>
      </c>
      <c r="B90" s="3" t="str">
        <f>IF(ROW()-1&lt;=0,"",IF(ROW()-1&lt;=$L$2,IFERROR(INDEX(MCQ!$A:$K,ROW()-1+1,2),""),IF(ROW()-1&lt;=$L$2+$M$2,IFERROR(INDEX(CLOZE_AB!$A:$K,ROW()-1-$L$2+1,2),""),IF(ROW()-1&lt;=$L$2+$M$2+$N$2,IFERROR(INDEX(CLOZE_LIST!$A:$K,ROW()-1-$L$2-$M$2+1,2),""),IF(ROW()-1&lt;=$L$2+$M$2+$N$2+$O$2,IFERROR(INDEX(PROFORMA!$A:$K,ROW()-1-$L$2-$M$2-$N$2+1,2),""),"")))))</f>
        <v>Filing rules</v>
      </c>
      <c r="C90" s="3" t="str">
        <f>IF(ROW()-1&lt;=0,"",IF(ROW()-1&lt;=$L$2,IFERROR(INDEX(MCQ!$A:$K,ROW()-1+1,3),""),IF(ROW()-1&lt;=$L$2+$M$2,IFERROR(INDEX(CLOZE_AB!$A:$K,ROW()-1-$L$2+1,3),""),IF(ROW()-1&lt;=$L$2+$M$2+$N$2,IFERROR(INDEX(CLOZE_LIST!$A:$K,ROW()-1-$L$2-$M$2+1,3),""),IF(ROW()-1&lt;=$L$2+$M$2+$N$2+$O$2,IFERROR(INDEX(PROFORMA!$A:$K,ROW()-1-$L$2-$M$2-$N$2+1,3),""),"")))))</f>
        <v>filing_requirements</v>
      </c>
      <c r="D90" s="3" t="str">
        <f>IF(ROW()-1&lt;=0,"",IF(ROW()-1&lt;=$L$2,IFERROR(INDEX(MCQ!$A:$K,ROW()-1+1,4),""),IF(ROW()-1&lt;=$L$2+$M$2,IFERROR(INDEX(CLOZE_AB!$A:$K,ROW()-1-$L$2+1,4),""),IF(ROW()-1&lt;=$L$2+$M$2+$N$2,IFERROR(INDEX(CLOZE_LIST!$A:$K,ROW()-1-$L$2-$M$2+1,4),""),IF(ROW()-1&lt;=$L$2+$M$2+$N$2+$O$2,IFERROR(INDEX(PROFORMA!$A:$K,ROW()-1-$L$2-$M$2-$N$2+1,4),""),"")))))</f>
        <v>Filing, payment and claims deadlines</v>
      </c>
      <c r="E90" s="3" t="str">
        <f>IF(ROW()-1&lt;=0,"",IF(ROW()-1&lt;=$L$2,IFERROR(INDEX(MCQ!$A:$K,ROW()-1+1,5),""),IF(ROW()-1&lt;=$L$2+$M$2,IFERROR(INDEX(CLOZE_AB!$A:$K,ROW()-1-$L$2+1,5),""),IF(ROW()-1&lt;=$L$2+$M$2+$N$2,IFERROR(INDEX(CLOZE_LIST!$A:$K,ROW()-1-$L$2-$M$2+1,5),""),IF(ROW()-1&lt;=$L$2+$M$2+$N$2+$O$2,IFERROR(INDEX(PROFORMA!$A:$K,ROW()-1-$L$2-$M$2-$N$2+1,5),""),"")))))</f>
        <v>mcq_radio</v>
      </c>
      <c r="F90" s="3">
        <f>IF(ROW()-1&lt;=0,"",IF(ROW()-1&lt;=$L$2,IFERROR(INDEX(MCQ!$A:$K,ROW()-1+1,6),""),IF(ROW()-1&lt;=$L$2+$M$2,IFERROR(INDEX(CLOZE_AB!$A:$K,ROW()-1-$L$2+1,6),""),IF(ROW()-1&lt;=$L$2+$M$2+$N$2,IFERROR(INDEX(CLOZE_LIST!$A:$K,ROW()-1-$L$2-$M$2+1,6),""),IF(ROW()-1&lt;=$L$2+$M$2+$N$2+$O$2,IFERROR(INDEX(PROFORMA!$A:$K,ROW()-1-$L$2-$M$2-$N$2+1,6),""),"")))))</f>
        <v>3</v>
      </c>
      <c r="G90" s="3" t="str">
        <f>IF(ROW()-1&lt;=0,"",IF(ROW()-1&lt;=$L$2,IFERROR(INDEX(MCQ!$A:$K,ROW()-1+1,7),""),IF(ROW()-1&lt;=$L$2+$M$2,IFERROR(INDEX(CLOZE_AB!$A:$K,ROW()-1-$L$2+1,7),""),IF(ROW()-1&lt;=$L$2+$M$2+$N$2,IFERROR(INDEX(CLOZE_LIST!$A:$K,ROW()-1-$L$2-$M$2+1,7),""),IF(ROW()-1&lt;=$L$2+$M$2+$N$2+$O$2,IFERROR(INDEX(PROFORMA!$A:$K,ROW()-1-$L$2-$M$2-$N$2+1,7),""),"")))))</f>
        <v>core</v>
      </c>
      <c r="H90" s="3" t="str">
        <f>IF(ROW()-1&lt;=0,"",IF(ROW()-1&lt;=$L$2,IFERROR(INDEX(MCQ!$A:$K,ROW()-1+1,8),""),IF(ROW()-1&lt;=$L$2+$M$2,IFERROR(INDEX(CLOZE_AB!$A:$K,ROW()-1-$L$2+1,8),""),IF(ROW()-1&lt;=$L$2+$M$2+$N$2,IFERROR(INDEX(CLOZE_LIST!$A:$K,ROW()-1-$L$2-$M$2+1,8),""),IF(ROW()-1&lt;=$L$2+$M$2+$N$2+$O$2,IFERROR(INDEX(PROFORMA!$A:$K,ROW()-1-$L$2-$M$2-$N$2+1,8),""),"")))))</f>
        <v>Y</v>
      </c>
      <c r="I90" s="3" t="str">
        <f>IF(ROW()-1&lt;=0,"",IF(ROW()-1&lt;=$L$2,IFERROR(INDEX(MCQ!$A:$K,ROW()-1+1,9),""),IF(ROW()-1&lt;=$L$2+$M$2,IFERROR(INDEX(CLOZE_AB!$A:$K,ROW()-1-$L$2+1,9),""),IF(ROW()-1&lt;=$L$2+$M$2+$N$2,IFERROR(INDEX(CLOZE_LIST!$A:$K,ROW()-1-$L$2-$M$2+1,9),""),IF(ROW()-1&lt;=$L$2+$M$2+$N$2+$O$2,IFERROR(INDEX(PROFORMA!$A:$K,ROW()-1-$L$2-$M$2-$N$2+1,9),""),"")))))</f>
        <v>deadlines;claims</v>
      </c>
      <c r="J90" s="3" t="str">
        <f>IF(ROW()-1&lt;=0,"",IF(ROW()-1&lt;=$L$2,IFERROR(INDEX(MCQ!$A:$K,ROW()-1+1,10),""),IF(ROW()-1&lt;=$L$2+$M$2,IFERROR(INDEX(CLOZE_AB!$A:$K,ROW()-1-$L$2+1,10),""),IF(ROW()-1&lt;=$L$2+$M$2+$N$2,IFERROR(INDEX(CLOZE_LIST!$A:$K,ROW()-1-$L$2-$M$2+1,10),""),IF(ROW()-1&lt;=$L$2+$M$2+$N$2+$O$2,IFERROR(INDEX(PROFORMA!$A:$K,ROW()-1-$L$2-$M$2-$N$2+1,10),""),"")))))</f>
        <v>user_supplied</v>
      </c>
      <c r="K90" s="3">
        <f>IF(ROW()-1&lt;=0,"",IF(ROW()-1&lt;=$L$2,IFERROR(INDEX(MCQ!$A:$K,ROW()-1+1,11),""),IF(ROW()-1&lt;=$L$2+$M$2,IFERROR(INDEX(CLOZE_AB!$A:$K,ROW()-1-$L$2+1,11),""),IF(ROW()-1&lt;=$L$2+$M$2+$N$2,IFERROR(INDEX(CLOZE_LIST!$A:$K,ROW()-1-$L$2-$M$2+1,11),""),IF(ROW()-1&lt;=$L$2+$M$2+$N$2+$O$2,IFERROR(INDEX(PROFORMA!$A:$K,ROW()-1-$L$2-$M$2-$N$2+1,11),""),"")))))</f>
        <v>1</v>
      </c>
      <c r="L90" s="3">
        <f>COUNTA(MCQ!$A:$A)-1</f>
        <v>122</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MCQ_FR_FILE_TAXDEAD_024</v>
      </c>
      <c r="B91" s="3" t="str">
        <f>IF(ROW()-1&lt;=0,"",IF(ROW()-1&lt;=$L$2,IFERROR(INDEX(MCQ!$A:$K,ROW()-1+1,2),""),IF(ROW()-1&lt;=$L$2+$M$2,IFERROR(INDEX(CLOZE_AB!$A:$K,ROW()-1-$L$2+1,2),""),IF(ROW()-1&lt;=$L$2+$M$2+$N$2,IFERROR(INDEX(CLOZE_LIST!$A:$K,ROW()-1-$L$2-$M$2+1,2),""),IF(ROW()-1&lt;=$L$2+$M$2+$N$2+$O$2,IFERROR(INDEX(PROFORMA!$A:$K,ROW()-1-$L$2-$M$2-$N$2+1,2),""),"")))))</f>
        <v>Filing rules</v>
      </c>
      <c r="C91" s="3" t="str">
        <f>IF(ROW()-1&lt;=0,"",IF(ROW()-1&lt;=$L$2,IFERROR(INDEX(MCQ!$A:$K,ROW()-1+1,3),""),IF(ROW()-1&lt;=$L$2+$M$2,IFERROR(INDEX(CLOZE_AB!$A:$K,ROW()-1-$L$2+1,3),""),IF(ROW()-1&lt;=$L$2+$M$2+$N$2,IFERROR(INDEX(CLOZE_LIST!$A:$K,ROW()-1-$L$2-$M$2+1,3),""),IF(ROW()-1&lt;=$L$2+$M$2+$N$2+$O$2,IFERROR(INDEX(PROFORMA!$A:$K,ROW()-1-$L$2-$M$2-$N$2+1,3),""),"")))))</f>
        <v>filing_requirements</v>
      </c>
      <c r="D91" s="3" t="str">
        <f>IF(ROW()-1&lt;=0,"",IF(ROW()-1&lt;=$L$2,IFERROR(INDEX(MCQ!$A:$K,ROW()-1+1,4),""),IF(ROW()-1&lt;=$L$2+$M$2,IFERROR(INDEX(CLOZE_AB!$A:$K,ROW()-1-$L$2+1,4),""),IF(ROW()-1&lt;=$L$2+$M$2+$N$2,IFERROR(INDEX(CLOZE_LIST!$A:$K,ROW()-1-$L$2-$M$2+1,4),""),IF(ROW()-1&lt;=$L$2+$M$2+$N$2+$O$2,IFERROR(INDEX(PROFORMA!$A:$K,ROW()-1-$L$2-$M$2-$N$2+1,4),""),"")))))</f>
        <v>Filing, payment and claims deadlines</v>
      </c>
      <c r="E91" s="3" t="str">
        <f>IF(ROW()-1&lt;=0,"",IF(ROW()-1&lt;=$L$2,IFERROR(INDEX(MCQ!$A:$K,ROW()-1+1,5),""),IF(ROW()-1&lt;=$L$2+$M$2,IFERROR(INDEX(CLOZE_AB!$A:$K,ROW()-1-$L$2+1,5),""),IF(ROW()-1&lt;=$L$2+$M$2+$N$2,IFERROR(INDEX(CLOZE_LIST!$A:$K,ROW()-1-$L$2-$M$2+1,5),""),IF(ROW()-1&lt;=$L$2+$M$2+$N$2+$O$2,IFERROR(INDEX(PROFORMA!$A:$K,ROW()-1-$L$2-$M$2-$N$2+1,5),""),"")))))</f>
        <v>mcq_radio</v>
      </c>
      <c r="F91" s="3">
        <f>IF(ROW()-1&lt;=0,"",IF(ROW()-1&lt;=$L$2,IFERROR(INDEX(MCQ!$A:$K,ROW()-1+1,6),""),IF(ROW()-1&lt;=$L$2+$M$2,IFERROR(INDEX(CLOZE_AB!$A:$K,ROW()-1-$L$2+1,6),""),IF(ROW()-1&lt;=$L$2+$M$2+$N$2,IFERROR(INDEX(CLOZE_LIST!$A:$K,ROW()-1-$L$2-$M$2+1,6),""),IF(ROW()-1&lt;=$L$2+$M$2+$N$2+$O$2,IFERROR(INDEX(PROFORMA!$A:$K,ROW()-1-$L$2-$M$2-$N$2+1,6),""),"")))))</f>
        <v>3</v>
      </c>
      <c r="G91" s="3" t="str">
        <f>IF(ROW()-1&lt;=0,"",IF(ROW()-1&lt;=$L$2,IFERROR(INDEX(MCQ!$A:$K,ROW()-1+1,7),""),IF(ROW()-1&lt;=$L$2+$M$2,IFERROR(INDEX(CLOZE_AB!$A:$K,ROW()-1-$L$2+1,7),""),IF(ROW()-1&lt;=$L$2+$M$2+$N$2,IFERROR(INDEX(CLOZE_LIST!$A:$K,ROW()-1-$L$2-$M$2+1,7),""),IF(ROW()-1&lt;=$L$2+$M$2+$N$2+$O$2,IFERROR(INDEX(PROFORMA!$A:$K,ROW()-1-$L$2-$M$2-$N$2+1,7),""),"")))))</f>
        <v>core</v>
      </c>
      <c r="H91" s="3" t="str">
        <f>IF(ROW()-1&lt;=0,"",IF(ROW()-1&lt;=$L$2,IFERROR(INDEX(MCQ!$A:$K,ROW()-1+1,8),""),IF(ROW()-1&lt;=$L$2+$M$2,IFERROR(INDEX(CLOZE_AB!$A:$K,ROW()-1-$L$2+1,8),""),IF(ROW()-1&lt;=$L$2+$M$2+$N$2,IFERROR(INDEX(CLOZE_LIST!$A:$K,ROW()-1-$L$2-$M$2+1,8),""),IF(ROW()-1&lt;=$L$2+$M$2+$N$2+$O$2,IFERROR(INDEX(PROFORMA!$A:$K,ROW()-1-$L$2-$M$2-$N$2+1,8),""),"")))))</f>
        <v>Y</v>
      </c>
      <c r="I91" s="3" t="str">
        <f>IF(ROW()-1&lt;=0,"",IF(ROW()-1&lt;=$L$2,IFERROR(INDEX(MCQ!$A:$K,ROW()-1+1,9),""),IF(ROW()-1&lt;=$L$2+$M$2,IFERROR(INDEX(CLOZE_AB!$A:$K,ROW()-1-$L$2+1,9),""),IF(ROW()-1&lt;=$L$2+$M$2+$N$2,IFERROR(INDEX(CLOZE_LIST!$A:$K,ROW()-1-$L$2-$M$2+1,9),""),IF(ROW()-1&lt;=$L$2+$M$2+$N$2+$O$2,IFERROR(INDEX(PROFORMA!$A:$K,ROW()-1-$L$2-$M$2-$N$2+1,9),""),"")))))</f>
        <v>deadlines;claims</v>
      </c>
      <c r="J91" s="3" t="str">
        <f>IF(ROW()-1&lt;=0,"",IF(ROW()-1&lt;=$L$2,IFERROR(INDEX(MCQ!$A:$K,ROW()-1+1,10),""),IF(ROW()-1&lt;=$L$2+$M$2,IFERROR(INDEX(CLOZE_AB!$A:$K,ROW()-1-$L$2+1,10),""),IF(ROW()-1&lt;=$L$2+$M$2+$N$2,IFERROR(INDEX(CLOZE_LIST!$A:$K,ROW()-1-$L$2-$M$2+1,10),""),IF(ROW()-1&lt;=$L$2+$M$2+$N$2+$O$2,IFERROR(INDEX(PROFORMA!$A:$K,ROW()-1-$L$2-$M$2-$N$2+1,10),""),"")))))</f>
        <v>user_supplied</v>
      </c>
      <c r="K91" s="3">
        <f>IF(ROW()-1&lt;=0,"",IF(ROW()-1&lt;=$L$2,IFERROR(INDEX(MCQ!$A:$K,ROW()-1+1,11),""),IF(ROW()-1&lt;=$L$2+$M$2,IFERROR(INDEX(CLOZE_AB!$A:$K,ROW()-1-$L$2+1,11),""),IF(ROW()-1&lt;=$L$2+$M$2+$N$2,IFERROR(INDEX(CLOZE_LIST!$A:$K,ROW()-1-$L$2-$M$2+1,11),""),IF(ROW()-1&lt;=$L$2+$M$2+$N$2+$O$2,IFERROR(INDEX(PROFORMA!$A:$K,ROW()-1-$L$2-$M$2-$N$2+1,11),""),"")))))</f>
        <v>1</v>
      </c>
      <c r="L91" s="3">
        <f>COUNTA(MCQ!$A:$A)-1</f>
        <v>122</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MCQ_FR_FILE_TAXDEAD_025</v>
      </c>
      <c r="B92" s="3" t="str">
        <f>IF(ROW()-1&lt;=0,"",IF(ROW()-1&lt;=$L$2,IFERROR(INDEX(MCQ!$A:$K,ROW()-1+1,2),""),IF(ROW()-1&lt;=$L$2+$M$2,IFERROR(INDEX(CLOZE_AB!$A:$K,ROW()-1-$L$2+1,2),""),IF(ROW()-1&lt;=$L$2+$M$2+$N$2,IFERROR(INDEX(CLOZE_LIST!$A:$K,ROW()-1-$L$2-$M$2+1,2),""),IF(ROW()-1&lt;=$L$2+$M$2+$N$2+$O$2,IFERROR(INDEX(PROFORMA!$A:$K,ROW()-1-$L$2-$M$2-$N$2+1,2),""),"")))))</f>
        <v>Filing rules</v>
      </c>
      <c r="C92" s="3" t="str">
        <f>IF(ROW()-1&lt;=0,"",IF(ROW()-1&lt;=$L$2,IFERROR(INDEX(MCQ!$A:$K,ROW()-1+1,3),""),IF(ROW()-1&lt;=$L$2+$M$2,IFERROR(INDEX(CLOZE_AB!$A:$K,ROW()-1-$L$2+1,3),""),IF(ROW()-1&lt;=$L$2+$M$2+$N$2,IFERROR(INDEX(CLOZE_LIST!$A:$K,ROW()-1-$L$2-$M$2+1,3),""),IF(ROW()-1&lt;=$L$2+$M$2+$N$2+$O$2,IFERROR(INDEX(PROFORMA!$A:$K,ROW()-1-$L$2-$M$2-$N$2+1,3),""),"")))))</f>
        <v>filing_requirements</v>
      </c>
      <c r="D92" s="3" t="str">
        <f>IF(ROW()-1&lt;=0,"",IF(ROW()-1&lt;=$L$2,IFERROR(INDEX(MCQ!$A:$K,ROW()-1+1,4),""),IF(ROW()-1&lt;=$L$2+$M$2,IFERROR(INDEX(CLOZE_AB!$A:$K,ROW()-1-$L$2+1,4),""),IF(ROW()-1&lt;=$L$2+$M$2+$N$2,IFERROR(INDEX(CLOZE_LIST!$A:$K,ROW()-1-$L$2-$M$2+1,4),""),IF(ROW()-1&lt;=$L$2+$M$2+$N$2+$O$2,IFERROR(INDEX(PROFORMA!$A:$K,ROW()-1-$L$2-$M$2-$N$2+1,4),""),"")))))</f>
        <v>Filing, payment and claims deadlines</v>
      </c>
      <c r="E92" s="3" t="str">
        <f>IF(ROW()-1&lt;=0,"",IF(ROW()-1&lt;=$L$2,IFERROR(INDEX(MCQ!$A:$K,ROW()-1+1,5),""),IF(ROW()-1&lt;=$L$2+$M$2,IFERROR(INDEX(CLOZE_AB!$A:$K,ROW()-1-$L$2+1,5),""),IF(ROW()-1&lt;=$L$2+$M$2+$N$2,IFERROR(INDEX(CLOZE_LIST!$A:$K,ROW()-1-$L$2-$M$2+1,5),""),IF(ROW()-1&lt;=$L$2+$M$2+$N$2+$O$2,IFERROR(INDEX(PROFORMA!$A:$K,ROW()-1-$L$2-$M$2-$N$2+1,5),""),"")))))</f>
        <v>mcq_radio</v>
      </c>
      <c r="F92" s="3">
        <f>IF(ROW()-1&lt;=0,"",IF(ROW()-1&lt;=$L$2,IFERROR(INDEX(MCQ!$A:$K,ROW()-1+1,6),""),IF(ROW()-1&lt;=$L$2+$M$2,IFERROR(INDEX(CLOZE_AB!$A:$K,ROW()-1-$L$2+1,6),""),IF(ROW()-1&lt;=$L$2+$M$2+$N$2,IFERROR(INDEX(CLOZE_LIST!$A:$K,ROW()-1-$L$2-$M$2+1,6),""),IF(ROW()-1&lt;=$L$2+$M$2+$N$2+$O$2,IFERROR(INDEX(PROFORMA!$A:$K,ROW()-1-$L$2-$M$2-$N$2+1,6),""),"")))))</f>
        <v>3</v>
      </c>
      <c r="G92" s="3" t="str">
        <f>IF(ROW()-1&lt;=0,"",IF(ROW()-1&lt;=$L$2,IFERROR(INDEX(MCQ!$A:$K,ROW()-1+1,7),""),IF(ROW()-1&lt;=$L$2+$M$2,IFERROR(INDEX(CLOZE_AB!$A:$K,ROW()-1-$L$2+1,7),""),IF(ROW()-1&lt;=$L$2+$M$2+$N$2,IFERROR(INDEX(CLOZE_LIST!$A:$K,ROW()-1-$L$2-$M$2+1,7),""),IF(ROW()-1&lt;=$L$2+$M$2+$N$2+$O$2,IFERROR(INDEX(PROFORMA!$A:$K,ROW()-1-$L$2-$M$2-$N$2+1,7),""),"")))))</f>
        <v>core</v>
      </c>
      <c r="H92" s="3" t="str">
        <f>IF(ROW()-1&lt;=0,"",IF(ROW()-1&lt;=$L$2,IFERROR(INDEX(MCQ!$A:$K,ROW()-1+1,8),""),IF(ROW()-1&lt;=$L$2+$M$2,IFERROR(INDEX(CLOZE_AB!$A:$K,ROW()-1-$L$2+1,8),""),IF(ROW()-1&lt;=$L$2+$M$2+$N$2,IFERROR(INDEX(CLOZE_LIST!$A:$K,ROW()-1-$L$2-$M$2+1,8),""),IF(ROW()-1&lt;=$L$2+$M$2+$N$2+$O$2,IFERROR(INDEX(PROFORMA!$A:$K,ROW()-1-$L$2-$M$2-$N$2+1,8),""),"")))))</f>
        <v>Y</v>
      </c>
      <c r="I92" s="3" t="str">
        <f>IF(ROW()-1&lt;=0,"",IF(ROW()-1&lt;=$L$2,IFERROR(INDEX(MCQ!$A:$K,ROW()-1+1,9),""),IF(ROW()-1&lt;=$L$2+$M$2,IFERROR(INDEX(CLOZE_AB!$A:$K,ROW()-1-$L$2+1,9),""),IF(ROW()-1&lt;=$L$2+$M$2+$N$2,IFERROR(INDEX(CLOZE_LIST!$A:$K,ROW()-1-$L$2-$M$2+1,9),""),IF(ROW()-1&lt;=$L$2+$M$2+$N$2+$O$2,IFERROR(INDEX(PROFORMA!$A:$K,ROW()-1-$L$2-$M$2-$N$2+1,9),""),"")))))</f>
        <v>deadlines;claims</v>
      </c>
      <c r="J92" s="3" t="str">
        <f>IF(ROW()-1&lt;=0,"",IF(ROW()-1&lt;=$L$2,IFERROR(INDEX(MCQ!$A:$K,ROW()-1+1,10),""),IF(ROW()-1&lt;=$L$2+$M$2,IFERROR(INDEX(CLOZE_AB!$A:$K,ROW()-1-$L$2+1,10),""),IF(ROW()-1&lt;=$L$2+$M$2+$N$2,IFERROR(INDEX(CLOZE_LIST!$A:$K,ROW()-1-$L$2-$M$2+1,10),""),IF(ROW()-1&lt;=$L$2+$M$2+$N$2+$O$2,IFERROR(INDEX(PROFORMA!$A:$K,ROW()-1-$L$2-$M$2-$N$2+1,10),""),"")))))</f>
        <v>user_supplied</v>
      </c>
      <c r="K92" s="3">
        <f>IF(ROW()-1&lt;=0,"",IF(ROW()-1&lt;=$L$2,IFERROR(INDEX(MCQ!$A:$K,ROW()-1+1,11),""),IF(ROW()-1&lt;=$L$2+$M$2,IFERROR(INDEX(CLOZE_AB!$A:$K,ROW()-1-$L$2+1,11),""),IF(ROW()-1&lt;=$L$2+$M$2+$N$2,IFERROR(INDEX(CLOZE_LIST!$A:$K,ROW()-1-$L$2-$M$2+1,11),""),IF(ROW()-1&lt;=$L$2+$M$2+$N$2+$O$2,IFERROR(INDEX(PROFORMA!$A:$K,ROW()-1-$L$2-$M$2-$N$2+1,11),""),"")))))</f>
        <v>1</v>
      </c>
      <c r="L92" s="3">
        <f>COUNTA(MCQ!$A:$A)-1</f>
        <v>122</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MCQ_FR_FILE_TAXDEAD_026</v>
      </c>
      <c r="B93" s="3" t="str">
        <f>IF(ROW()-1&lt;=0,"",IF(ROW()-1&lt;=$L$2,IFERROR(INDEX(MCQ!$A:$K,ROW()-1+1,2),""),IF(ROW()-1&lt;=$L$2+$M$2,IFERROR(INDEX(CLOZE_AB!$A:$K,ROW()-1-$L$2+1,2),""),IF(ROW()-1&lt;=$L$2+$M$2+$N$2,IFERROR(INDEX(CLOZE_LIST!$A:$K,ROW()-1-$L$2-$M$2+1,2),""),IF(ROW()-1&lt;=$L$2+$M$2+$N$2+$O$2,IFERROR(INDEX(PROFORMA!$A:$K,ROW()-1-$L$2-$M$2-$N$2+1,2),""),"")))))</f>
        <v>Filing rules</v>
      </c>
      <c r="C93" s="3" t="str">
        <f>IF(ROW()-1&lt;=0,"",IF(ROW()-1&lt;=$L$2,IFERROR(INDEX(MCQ!$A:$K,ROW()-1+1,3),""),IF(ROW()-1&lt;=$L$2+$M$2,IFERROR(INDEX(CLOZE_AB!$A:$K,ROW()-1-$L$2+1,3),""),IF(ROW()-1&lt;=$L$2+$M$2+$N$2,IFERROR(INDEX(CLOZE_LIST!$A:$K,ROW()-1-$L$2-$M$2+1,3),""),IF(ROW()-1&lt;=$L$2+$M$2+$N$2+$O$2,IFERROR(INDEX(PROFORMA!$A:$K,ROW()-1-$L$2-$M$2-$N$2+1,3),""),"")))))</f>
        <v>filing_requirements</v>
      </c>
      <c r="D93" s="3" t="str">
        <f>IF(ROW()-1&lt;=0,"",IF(ROW()-1&lt;=$L$2,IFERROR(INDEX(MCQ!$A:$K,ROW()-1+1,4),""),IF(ROW()-1&lt;=$L$2+$M$2,IFERROR(INDEX(CLOZE_AB!$A:$K,ROW()-1-$L$2+1,4),""),IF(ROW()-1&lt;=$L$2+$M$2+$N$2,IFERROR(INDEX(CLOZE_LIST!$A:$K,ROW()-1-$L$2-$M$2+1,4),""),IF(ROW()-1&lt;=$L$2+$M$2+$N$2+$O$2,IFERROR(INDEX(PROFORMA!$A:$K,ROW()-1-$L$2-$M$2-$N$2+1,4),""),"")))))</f>
        <v>Filing, payment and claims deadlines</v>
      </c>
      <c r="E93" s="3" t="str">
        <f>IF(ROW()-1&lt;=0,"",IF(ROW()-1&lt;=$L$2,IFERROR(INDEX(MCQ!$A:$K,ROW()-1+1,5),""),IF(ROW()-1&lt;=$L$2+$M$2,IFERROR(INDEX(CLOZE_AB!$A:$K,ROW()-1-$L$2+1,5),""),IF(ROW()-1&lt;=$L$2+$M$2+$N$2,IFERROR(INDEX(CLOZE_LIST!$A:$K,ROW()-1-$L$2-$M$2+1,5),""),IF(ROW()-1&lt;=$L$2+$M$2+$N$2+$O$2,IFERROR(INDEX(PROFORMA!$A:$K,ROW()-1-$L$2-$M$2-$N$2+1,5),""),"")))))</f>
        <v>mcq_radio</v>
      </c>
      <c r="F93" s="3">
        <f>IF(ROW()-1&lt;=0,"",IF(ROW()-1&lt;=$L$2,IFERROR(INDEX(MCQ!$A:$K,ROW()-1+1,6),""),IF(ROW()-1&lt;=$L$2+$M$2,IFERROR(INDEX(CLOZE_AB!$A:$K,ROW()-1-$L$2+1,6),""),IF(ROW()-1&lt;=$L$2+$M$2+$N$2,IFERROR(INDEX(CLOZE_LIST!$A:$K,ROW()-1-$L$2-$M$2+1,6),""),IF(ROW()-1&lt;=$L$2+$M$2+$N$2+$O$2,IFERROR(INDEX(PROFORMA!$A:$K,ROW()-1-$L$2-$M$2-$N$2+1,6),""),"")))))</f>
        <v>3</v>
      </c>
      <c r="G93" s="3" t="str">
        <f>IF(ROW()-1&lt;=0,"",IF(ROW()-1&lt;=$L$2,IFERROR(INDEX(MCQ!$A:$K,ROW()-1+1,7),""),IF(ROW()-1&lt;=$L$2+$M$2,IFERROR(INDEX(CLOZE_AB!$A:$K,ROW()-1-$L$2+1,7),""),IF(ROW()-1&lt;=$L$2+$M$2+$N$2,IFERROR(INDEX(CLOZE_LIST!$A:$K,ROW()-1-$L$2-$M$2+1,7),""),IF(ROW()-1&lt;=$L$2+$M$2+$N$2+$O$2,IFERROR(INDEX(PROFORMA!$A:$K,ROW()-1-$L$2-$M$2-$N$2+1,7),""),"")))))</f>
        <v>core</v>
      </c>
      <c r="H93" s="3" t="str">
        <f>IF(ROW()-1&lt;=0,"",IF(ROW()-1&lt;=$L$2,IFERROR(INDEX(MCQ!$A:$K,ROW()-1+1,8),""),IF(ROW()-1&lt;=$L$2+$M$2,IFERROR(INDEX(CLOZE_AB!$A:$K,ROW()-1-$L$2+1,8),""),IF(ROW()-1&lt;=$L$2+$M$2+$N$2,IFERROR(INDEX(CLOZE_LIST!$A:$K,ROW()-1-$L$2-$M$2+1,8),""),IF(ROW()-1&lt;=$L$2+$M$2+$N$2+$O$2,IFERROR(INDEX(PROFORMA!$A:$K,ROW()-1-$L$2-$M$2-$N$2+1,8),""),"")))))</f>
        <v>Y</v>
      </c>
      <c r="I93" s="3" t="str">
        <f>IF(ROW()-1&lt;=0,"",IF(ROW()-1&lt;=$L$2,IFERROR(INDEX(MCQ!$A:$K,ROW()-1+1,9),""),IF(ROW()-1&lt;=$L$2+$M$2,IFERROR(INDEX(CLOZE_AB!$A:$K,ROW()-1-$L$2+1,9),""),IF(ROW()-1&lt;=$L$2+$M$2+$N$2,IFERROR(INDEX(CLOZE_LIST!$A:$K,ROW()-1-$L$2-$M$2+1,9),""),IF(ROW()-1&lt;=$L$2+$M$2+$N$2+$O$2,IFERROR(INDEX(PROFORMA!$A:$K,ROW()-1-$L$2-$M$2-$N$2+1,9),""),"")))))</f>
        <v>deadlines;claims</v>
      </c>
      <c r="J93" s="3" t="str">
        <f>IF(ROW()-1&lt;=0,"",IF(ROW()-1&lt;=$L$2,IFERROR(INDEX(MCQ!$A:$K,ROW()-1+1,10),""),IF(ROW()-1&lt;=$L$2+$M$2,IFERROR(INDEX(CLOZE_AB!$A:$K,ROW()-1-$L$2+1,10),""),IF(ROW()-1&lt;=$L$2+$M$2+$N$2,IFERROR(INDEX(CLOZE_LIST!$A:$K,ROW()-1-$L$2-$M$2+1,10),""),IF(ROW()-1&lt;=$L$2+$M$2+$N$2+$O$2,IFERROR(INDEX(PROFORMA!$A:$K,ROW()-1-$L$2-$M$2-$N$2+1,10),""),"")))))</f>
        <v>user_supplied</v>
      </c>
      <c r="K93" s="3">
        <f>IF(ROW()-1&lt;=0,"",IF(ROW()-1&lt;=$L$2,IFERROR(INDEX(MCQ!$A:$K,ROW()-1+1,11),""),IF(ROW()-1&lt;=$L$2+$M$2,IFERROR(INDEX(CLOZE_AB!$A:$K,ROW()-1-$L$2+1,11),""),IF(ROW()-1&lt;=$L$2+$M$2+$N$2,IFERROR(INDEX(CLOZE_LIST!$A:$K,ROW()-1-$L$2-$M$2+1,11),""),IF(ROW()-1&lt;=$L$2+$M$2+$N$2+$O$2,IFERROR(INDEX(PROFORMA!$A:$K,ROW()-1-$L$2-$M$2-$N$2+1,11),""),"")))))</f>
        <v>1</v>
      </c>
      <c r="L93" s="3">
        <f>COUNTA(MCQ!$A:$A)-1</f>
        <v>122</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MCQ_FR_FILE_TAXDEAD_027</v>
      </c>
      <c r="B94" s="3" t="str">
        <f>IF(ROW()-1&lt;=0,"",IF(ROW()-1&lt;=$L$2,IFERROR(INDEX(MCQ!$A:$K,ROW()-1+1,2),""),IF(ROW()-1&lt;=$L$2+$M$2,IFERROR(INDEX(CLOZE_AB!$A:$K,ROW()-1-$L$2+1,2),""),IF(ROW()-1&lt;=$L$2+$M$2+$N$2,IFERROR(INDEX(CLOZE_LIST!$A:$K,ROW()-1-$L$2-$M$2+1,2),""),IF(ROW()-1&lt;=$L$2+$M$2+$N$2+$O$2,IFERROR(INDEX(PROFORMA!$A:$K,ROW()-1-$L$2-$M$2-$N$2+1,2),""),"")))))</f>
        <v>Filing rules</v>
      </c>
      <c r="C94" s="3" t="str">
        <f>IF(ROW()-1&lt;=0,"",IF(ROW()-1&lt;=$L$2,IFERROR(INDEX(MCQ!$A:$K,ROW()-1+1,3),""),IF(ROW()-1&lt;=$L$2+$M$2,IFERROR(INDEX(CLOZE_AB!$A:$K,ROW()-1-$L$2+1,3),""),IF(ROW()-1&lt;=$L$2+$M$2+$N$2,IFERROR(INDEX(CLOZE_LIST!$A:$K,ROW()-1-$L$2-$M$2+1,3),""),IF(ROW()-1&lt;=$L$2+$M$2+$N$2+$O$2,IFERROR(INDEX(PROFORMA!$A:$K,ROW()-1-$L$2-$M$2-$N$2+1,3),""),"")))))</f>
        <v>filing_requirements</v>
      </c>
      <c r="D94" s="3" t="str">
        <f>IF(ROW()-1&lt;=0,"",IF(ROW()-1&lt;=$L$2,IFERROR(INDEX(MCQ!$A:$K,ROW()-1+1,4),""),IF(ROW()-1&lt;=$L$2+$M$2,IFERROR(INDEX(CLOZE_AB!$A:$K,ROW()-1-$L$2+1,4),""),IF(ROW()-1&lt;=$L$2+$M$2+$N$2,IFERROR(INDEX(CLOZE_LIST!$A:$K,ROW()-1-$L$2-$M$2+1,4),""),IF(ROW()-1&lt;=$L$2+$M$2+$N$2+$O$2,IFERROR(INDEX(PROFORMA!$A:$K,ROW()-1-$L$2-$M$2-$N$2+1,4),""),"")))))</f>
        <v>Filing, payment and claims deadlines</v>
      </c>
      <c r="E94" s="3" t="str">
        <f>IF(ROW()-1&lt;=0,"",IF(ROW()-1&lt;=$L$2,IFERROR(INDEX(MCQ!$A:$K,ROW()-1+1,5),""),IF(ROW()-1&lt;=$L$2+$M$2,IFERROR(INDEX(CLOZE_AB!$A:$K,ROW()-1-$L$2+1,5),""),IF(ROW()-1&lt;=$L$2+$M$2+$N$2,IFERROR(INDEX(CLOZE_LIST!$A:$K,ROW()-1-$L$2-$M$2+1,5),""),IF(ROW()-1&lt;=$L$2+$M$2+$N$2+$O$2,IFERROR(INDEX(PROFORMA!$A:$K,ROW()-1-$L$2-$M$2-$N$2+1,5),""),"")))))</f>
        <v>mcq_radio</v>
      </c>
      <c r="F94" s="3">
        <f>IF(ROW()-1&lt;=0,"",IF(ROW()-1&lt;=$L$2,IFERROR(INDEX(MCQ!$A:$K,ROW()-1+1,6),""),IF(ROW()-1&lt;=$L$2+$M$2,IFERROR(INDEX(CLOZE_AB!$A:$K,ROW()-1-$L$2+1,6),""),IF(ROW()-1&lt;=$L$2+$M$2+$N$2,IFERROR(INDEX(CLOZE_LIST!$A:$K,ROW()-1-$L$2-$M$2+1,6),""),IF(ROW()-1&lt;=$L$2+$M$2+$N$2+$O$2,IFERROR(INDEX(PROFORMA!$A:$K,ROW()-1-$L$2-$M$2-$N$2+1,6),""),"")))))</f>
        <v>3</v>
      </c>
      <c r="G94" s="3" t="str">
        <f>IF(ROW()-1&lt;=0,"",IF(ROW()-1&lt;=$L$2,IFERROR(INDEX(MCQ!$A:$K,ROW()-1+1,7),""),IF(ROW()-1&lt;=$L$2+$M$2,IFERROR(INDEX(CLOZE_AB!$A:$K,ROW()-1-$L$2+1,7),""),IF(ROW()-1&lt;=$L$2+$M$2+$N$2,IFERROR(INDEX(CLOZE_LIST!$A:$K,ROW()-1-$L$2-$M$2+1,7),""),IF(ROW()-1&lt;=$L$2+$M$2+$N$2+$O$2,IFERROR(INDEX(PROFORMA!$A:$K,ROW()-1-$L$2-$M$2-$N$2+1,7),""),"")))))</f>
        <v>core</v>
      </c>
      <c r="H94" s="3" t="str">
        <f>IF(ROW()-1&lt;=0,"",IF(ROW()-1&lt;=$L$2,IFERROR(INDEX(MCQ!$A:$K,ROW()-1+1,8),""),IF(ROW()-1&lt;=$L$2+$M$2,IFERROR(INDEX(CLOZE_AB!$A:$K,ROW()-1-$L$2+1,8),""),IF(ROW()-1&lt;=$L$2+$M$2+$N$2,IFERROR(INDEX(CLOZE_LIST!$A:$K,ROW()-1-$L$2-$M$2+1,8),""),IF(ROW()-1&lt;=$L$2+$M$2+$N$2+$O$2,IFERROR(INDEX(PROFORMA!$A:$K,ROW()-1-$L$2-$M$2-$N$2+1,8),""),"")))))</f>
        <v>Y</v>
      </c>
      <c r="I94" s="3" t="str">
        <f>IF(ROW()-1&lt;=0,"",IF(ROW()-1&lt;=$L$2,IFERROR(INDEX(MCQ!$A:$K,ROW()-1+1,9),""),IF(ROW()-1&lt;=$L$2+$M$2,IFERROR(INDEX(CLOZE_AB!$A:$K,ROW()-1-$L$2+1,9),""),IF(ROW()-1&lt;=$L$2+$M$2+$N$2,IFERROR(INDEX(CLOZE_LIST!$A:$K,ROW()-1-$L$2-$M$2+1,9),""),IF(ROW()-1&lt;=$L$2+$M$2+$N$2+$O$2,IFERROR(INDEX(PROFORMA!$A:$K,ROW()-1-$L$2-$M$2-$N$2+1,9),""),"")))))</f>
        <v>deadlines;claims</v>
      </c>
      <c r="J94" s="3" t="str">
        <f>IF(ROW()-1&lt;=0,"",IF(ROW()-1&lt;=$L$2,IFERROR(INDEX(MCQ!$A:$K,ROW()-1+1,10),""),IF(ROW()-1&lt;=$L$2+$M$2,IFERROR(INDEX(CLOZE_AB!$A:$K,ROW()-1-$L$2+1,10),""),IF(ROW()-1&lt;=$L$2+$M$2+$N$2,IFERROR(INDEX(CLOZE_LIST!$A:$K,ROW()-1-$L$2-$M$2+1,10),""),IF(ROW()-1&lt;=$L$2+$M$2+$N$2+$O$2,IFERROR(INDEX(PROFORMA!$A:$K,ROW()-1-$L$2-$M$2-$N$2+1,10),""),"")))))</f>
        <v>user_supplied</v>
      </c>
      <c r="K94" s="3">
        <f>IF(ROW()-1&lt;=0,"",IF(ROW()-1&lt;=$L$2,IFERROR(INDEX(MCQ!$A:$K,ROW()-1+1,11),""),IF(ROW()-1&lt;=$L$2+$M$2,IFERROR(INDEX(CLOZE_AB!$A:$K,ROW()-1-$L$2+1,11),""),IF(ROW()-1&lt;=$L$2+$M$2+$N$2,IFERROR(INDEX(CLOZE_LIST!$A:$K,ROW()-1-$L$2-$M$2+1,11),""),IF(ROW()-1&lt;=$L$2+$M$2+$N$2+$O$2,IFERROR(INDEX(PROFORMA!$A:$K,ROW()-1-$L$2-$M$2-$N$2+1,11),""),"")))))</f>
        <v>1</v>
      </c>
      <c r="L94" s="3">
        <f>COUNTA(MCQ!$A:$A)-1</f>
        <v>122</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MCQ_FR_FILE_TAXDEAD_028</v>
      </c>
      <c r="B95" s="3" t="str">
        <f>IF(ROW()-1&lt;=0,"",IF(ROW()-1&lt;=$L$2,IFERROR(INDEX(MCQ!$A:$K,ROW()-1+1,2),""),IF(ROW()-1&lt;=$L$2+$M$2,IFERROR(INDEX(CLOZE_AB!$A:$K,ROW()-1-$L$2+1,2),""),IF(ROW()-1&lt;=$L$2+$M$2+$N$2,IFERROR(INDEX(CLOZE_LIST!$A:$K,ROW()-1-$L$2-$M$2+1,2),""),IF(ROW()-1&lt;=$L$2+$M$2+$N$2+$O$2,IFERROR(INDEX(PROFORMA!$A:$K,ROW()-1-$L$2-$M$2-$N$2+1,2),""),"")))))</f>
        <v>Filing rules</v>
      </c>
      <c r="C95" s="3" t="str">
        <f>IF(ROW()-1&lt;=0,"",IF(ROW()-1&lt;=$L$2,IFERROR(INDEX(MCQ!$A:$K,ROW()-1+1,3),""),IF(ROW()-1&lt;=$L$2+$M$2,IFERROR(INDEX(CLOZE_AB!$A:$K,ROW()-1-$L$2+1,3),""),IF(ROW()-1&lt;=$L$2+$M$2+$N$2,IFERROR(INDEX(CLOZE_LIST!$A:$K,ROW()-1-$L$2-$M$2+1,3),""),IF(ROW()-1&lt;=$L$2+$M$2+$N$2+$O$2,IFERROR(INDEX(PROFORMA!$A:$K,ROW()-1-$L$2-$M$2-$N$2+1,3),""),"")))))</f>
        <v>filing_requirements</v>
      </c>
      <c r="D95" s="3" t="str">
        <f>IF(ROW()-1&lt;=0,"",IF(ROW()-1&lt;=$L$2,IFERROR(INDEX(MCQ!$A:$K,ROW()-1+1,4),""),IF(ROW()-1&lt;=$L$2+$M$2,IFERROR(INDEX(CLOZE_AB!$A:$K,ROW()-1-$L$2+1,4),""),IF(ROW()-1&lt;=$L$2+$M$2+$N$2,IFERROR(INDEX(CLOZE_LIST!$A:$K,ROW()-1-$L$2-$M$2+1,4),""),IF(ROW()-1&lt;=$L$2+$M$2+$N$2+$O$2,IFERROR(INDEX(PROFORMA!$A:$K,ROW()-1-$L$2-$M$2-$N$2+1,4),""),"")))))</f>
        <v>Filing, payment and claims deadlines</v>
      </c>
      <c r="E95" s="3" t="str">
        <f>IF(ROW()-1&lt;=0,"",IF(ROW()-1&lt;=$L$2,IFERROR(INDEX(MCQ!$A:$K,ROW()-1+1,5),""),IF(ROW()-1&lt;=$L$2+$M$2,IFERROR(INDEX(CLOZE_AB!$A:$K,ROW()-1-$L$2+1,5),""),IF(ROW()-1&lt;=$L$2+$M$2+$N$2,IFERROR(INDEX(CLOZE_LIST!$A:$K,ROW()-1-$L$2-$M$2+1,5),""),IF(ROW()-1&lt;=$L$2+$M$2+$N$2+$O$2,IFERROR(INDEX(PROFORMA!$A:$K,ROW()-1-$L$2-$M$2-$N$2+1,5),""),"")))))</f>
        <v>mcq_radio</v>
      </c>
      <c r="F95" s="3">
        <f>IF(ROW()-1&lt;=0,"",IF(ROW()-1&lt;=$L$2,IFERROR(INDEX(MCQ!$A:$K,ROW()-1+1,6),""),IF(ROW()-1&lt;=$L$2+$M$2,IFERROR(INDEX(CLOZE_AB!$A:$K,ROW()-1-$L$2+1,6),""),IF(ROW()-1&lt;=$L$2+$M$2+$N$2,IFERROR(INDEX(CLOZE_LIST!$A:$K,ROW()-1-$L$2-$M$2+1,6),""),IF(ROW()-1&lt;=$L$2+$M$2+$N$2+$O$2,IFERROR(INDEX(PROFORMA!$A:$K,ROW()-1-$L$2-$M$2-$N$2+1,6),""),"")))))</f>
        <v>3</v>
      </c>
      <c r="G95" s="3" t="str">
        <f>IF(ROW()-1&lt;=0,"",IF(ROW()-1&lt;=$L$2,IFERROR(INDEX(MCQ!$A:$K,ROW()-1+1,7),""),IF(ROW()-1&lt;=$L$2+$M$2,IFERROR(INDEX(CLOZE_AB!$A:$K,ROW()-1-$L$2+1,7),""),IF(ROW()-1&lt;=$L$2+$M$2+$N$2,IFERROR(INDEX(CLOZE_LIST!$A:$K,ROW()-1-$L$2-$M$2+1,7),""),IF(ROW()-1&lt;=$L$2+$M$2+$N$2+$O$2,IFERROR(INDEX(PROFORMA!$A:$K,ROW()-1-$L$2-$M$2-$N$2+1,7),""),"")))))</f>
        <v>core</v>
      </c>
      <c r="H95" s="3" t="str">
        <f>IF(ROW()-1&lt;=0,"",IF(ROW()-1&lt;=$L$2,IFERROR(INDEX(MCQ!$A:$K,ROW()-1+1,8),""),IF(ROW()-1&lt;=$L$2+$M$2,IFERROR(INDEX(CLOZE_AB!$A:$K,ROW()-1-$L$2+1,8),""),IF(ROW()-1&lt;=$L$2+$M$2+$N$2,IFERROR(INDEX(CLOZE_LIST!$A:$K,ROW()-1-$L$2-$M$2+1,8),""),IF(ROW()-1&lt;=$L$2+$M$2+$N$2+$O$2,IFERROR(INDEX(PROFORMA!$A:$K,ROW()-1-$L$2-$M$2-$N$2+1,8),""),"")))))</f>
        <v>Y</v>
      </c>
      <c r="I95" s="3" t="str">
        <f>IF(ROW()-1&lt;=0,"",IF(ROW()-1&lt;=$L$2,IFERROR(INDEX(MCQ!$A:$K,ROW()-1+1,9),""),IF(ROW()-1&lt;=$L$2+$M$2,IFERROR(INDEX(CLOZE_AB!$A:$K,ROW()-1-$L$2+1,9),""),IF(ROW()-1&lt;=$L$2+$M$2+$N$2,IFERROR(INDEX(CLOZE_LIST!$A:$K,ROW()-1-$L$2-$M$2+1,9),""),IF(ROW()-1&lt;=$L$2+$M$2+$N$2+$O$2,IFERROR(INDEX(PROFORMA!$A:$K,ROW()-1-$L$2-$M$2-$N$2+1,9),""),"")))))</f>
        <v>deadlines;claims</v>
      </c>
      <c r="J95" s="3" t="str">
        <f>IF(ROW()-1&lt;=0,"",IF(ROW()-1&lt;=$L$2,IFERROR(INDEX(MCQ!$A:$K,ROW()-1+1,10),""),IF(ROW()-1&lt;=$L$2+$M$2,IFERROR(INDEX(CLOZE_AB!$A:$K,ROW()-1-$L$2+1,10),""),IF(ROW()-1&lt;=$L$2+$M$2+$N$2,IFERROR(INDEX(CLOZE_LIST!$A:$K,ROW()-1-$L$2-$M$2+1,10),""),IF(ROW()-1&lt;=$L$2+$M$2+$N$2+$O$2,IFERROR(INDEX(PROFORMA!$A:$K,ROW()-1-$L$2-$M$2-$N$2+1,10),""),"")))))</f>
        <v>user_supplied</v>
      </c>
      <c r="K95" s="3">
        <f>IF(ROW()-1&lt;=0,"",IF(ROW()-1&lt;=$L$2,IFERROR(INDEX(MCQ!$A:$K,ROW()-1+1,11),""),IF(ROW()-1&lt;=$L$2+$M$2,IFERROR(INDEX(CLOZE_AB!$A:$K,ROW()-1-$L$2+1,11),""),IF(ROW()-1&lt;=$L$2+$M$2+$N$2,IFERROR(INDEX(CLOZE_LIST!$A:$K,ROW()-1-$L$2-$M$2+1,11),""),IF(ROW()-1&lt;=$L$2+$M$2+$N$2+$O$2,IFERROR(INDEX(PROFORMA!$A:$K,ROW()-1-$L$2-$M$2-$N$2+1,11),""),"")))))</f>
        <v>1</v>
      </c>
      <c r="L95" s="3">
        <f>COUNTA(MCQ!$A:$A)-1</f>
        <v>122</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MCQ_FR_FILE_TAXDEAD_029</v>
      </c>
      <c r="B96" s="3" t="str">
        <f>IF(ROW()-1&lt;=0,"",IF(ROW()-1&lt;=$L$2,IFERROR(INDEX(MCQ!$A:$K,ROW()-1+1,2),""),IF(ROW()-1&lt;=$L$2+$M$2,IFERROR(INDEX(CLOZE_AB!$A:$K,ROW()-1-$L$2+1,2),""),IF(ROW()-1&lt;=$L$2+$M$2+$N$2,IFERROR(INDEX(CLOZE_LIST!$A:$K,ROW()-1-$L$2-$M$2+1,2),""),IF(ROW()-1&lt;=$L$2+$M$2+$N$2+$O$2,IFERROR(INDEX(PROFORMA!$A:$K,ROW()-1-$L$2-$M$2-$N$2+1,2),""),"")))))</f>
        <v>Filing rules</v>
      </c>
      <c r="C96" s="3" t="str">
        <f>IF(ROW()-1&lt;=0,"",IF(ROW()-1&lt;=$L$2,IFERROR(INDEX(MCQ!$A:$K,ROW()-1+1,3),""),IF(ROW()-1&lt;=$L$2+$M$2,IFERROR(INDEX(CLOZE_AB!$A:$K,ROW()-1-$L$2+1,3),""),IF(ROW()-1&lt;=$L$2+$M$2+$N$2,IFERROR(INDEX(CLOZE_LIST!$A:$K,ROW()-1-$L$2-$M$2+1,3),""),IF(ROW()-1&lt;=$L$2+$M$2+$N$2+$O$2,IFERROR(INDEX(PROFORMA!$A:$K,ROW()-1-$L$2-$M$2-$N$2+1,3),""),"")))))</f>
        <v>filing_requirements</v>
      </c>
      <c r="D96" s="3" t="str">
        <f>IF(ROW()-1&lt;=0,"",IF(ROW()-1&lt;=$L$2,IFERROR(INDEX(MCQ!$A:$K,ROW()-1+1,4),""),IF(ROW()-1&lt;=$L$2+$M$2,IFERROR(INDEX(CLOZE_AB!$A:$K,ROW()-1-$L$2+1,4),""),IF(ROW()-1&lt;=$L$2+$M$2+$N$2,IFERROR(INDEX(CLOZE_LIST!$A:$K,ROW()-1-$L$2-$M$2+1,4),""),IF(ROW()-1&lt;=$L$2+$M$2+$N$2+$O$2,IFERROR(INDEX(PROFORMA!$A:$K,ROW()-1-$L$2-$M$2-$N$2+1,4),""),"")))))</f>
        <v>Filing, payment and claims deadlines</v>
      </c>
      <c r="E96" s="3" t="str">
        <f>IF(ROW()-1&lt;=0,"",IF(ROW()-1&lt;=$L$2,IFERROR(INDEX(MCQ!$A:$K,ROW()-1+1,5),""),IF(ROW()-1&lt;=$L$2+$M$2,IFERROR(INDEX(CLOZE_AB!$A:$K,ROW()-1-$L$2+1,5),""),IF(ROW()-1&lt;=$L$2+$M$2+$N$2,IFERROR(INDEX(CLOZE_LIST!$A:$K,ROW()-1-$L$2-$M$2+1,5),""),IF(ROW()-1&lt;=$L$2+$M$2+$N$2+$O$2,IFERROR(INDEX(PROFORMA!$A:$K,ROW()-1-$L$2-$M$2-$N$2+1,5),""),"")))))</f>
        <v>mcq_radio</v>
      </c>
      <c r="F96" s="3">
        <f>IF(ROW()-1&lt;=0,"",IF(ROW()-1&lt;=$L$2,IFERROR(INDEX(MCQ!$A:$K,ROW()-1+1,6),""),IF(ROW()-1&lt;=$L$2+$M$2,IFERROR(INDEX(CLOZE_AB!$A:$K,ROW()-1-$L$2+1,6),""),IF(ROW()-1&lt;=$L$2+$M$2+$N$2,IFERROR(INDEX(CLOZE_LIST!$A:$K,ROW()-1-$L$2-$M$2+1,6),""),IF(ROW()-1&lt;=$L$2+$M$2+$N$2+$O$2,IFERROR(INDEX(PROFORMA!$A:$K,ROW()-1-$L$2-$M$2-$N$2+1,6),""),"")))))</f>
        <v>3</v>
      </c>
      <c r="G96" s="3" t="str">
        <f>IF(ROW()-1&lt;=0,"",IF(ROW()-1&lt;=$L$2,IFERROR(INDEX(MCQ!$A:$K,ROW()-1+1,7),""),IF(ROW()-1&lt;=$L$2+$M$2,IFERROR(INDEX(CLOZE_AB!$A:$K,ROW()-1-$L$2+1,7),""),IF(ROW()-1&lt;=$L$2+$M$2+$N$2,IFERROR(INDEX(CLOZE_LIST!$A:$K,ROW()-1-$L$2-$M$2+1,7),""),IF(ROW()-1&lt;=$L$2+$M$2+$N$2+$O$2,IFERROR(INDEX(PROFORMA!$A:$K,ROW()-1-$L$2-$M$2-$N$2+1,7),""),"")))))</f>
        <v>core</v>
      </c>
      <c r="H96" s="3" t="str">
        <f>IF(ROW()-1&lt;=0,"",IF(ROW()-1&lt;=$L$2,IFERROR(INDEX(MCQ!$A:$K,ROW()-1+1,8),""),IF(ROW()-1&lt;=$L$2+$M$2,IFERROR(INDEX(CLOZE_AB!$A:$K,ROW()-1-$L$2+1,8),""),IF(ROW()-1&lt;=$L$2+$M$2+$N$2,IFERROR(INDEX(CLOZE_LIST!$A:$K,ROW()-1-$L$2-$M$2+1,8),""),IF(ROW()-1&lt;=$L$2+$M$2+$N$2+$O$2,IFERROR(INDEX(PROFORMA!$A:$K,ROW()-1-$L$2-$M$2-$N$2+1,8),""),"")))))</f>
        <v>Y</v>
      </c>
      <c r="I96" s="3" t="str">
        <f>IF(ROW()-1&lt;=0,"",IF(ROW()-1&lt;=$L$2,IFERROR(INDEX(MCQ!$A:$K,ROW()-1+1,9),""),IF(ROW()-1&lt;=$L$2+$M$2,IFERROR(INDEX(CLOZE_AB!$A:$K,ROW()-1-$L$2+1,9),""),IF(ROW()-1&lt;=$L$2+$M$2+$N$2,IFERROR(INDEX(CLOZE_LIST!$A:$K,ROW()-1-$L$2-$M$2+1,9),""),IF(ROW()-1&lt;=$L$2+$M$2+$N$2+$O$2,IFERROR(INDEX(PROFORMA!$A:$K,ROW()-1-$L$2-$M$2-$N$2+1,9),""),"")))))</f>
        <v>deadlines;claims</v>
      </c>
      <c r="J96" s="3" t="str">
        <f>IF(ROW()-1&lt;=0,"",IF(ROW()-1&lt;=$L$2,IFERROR(INDEX(MCQ!$A:$K,ROW()-1+1,10),""),IF(ROW()-1&lt;=$L$2+$M$2,IFERROR(INDEX(CLOZE_AB!$A:$K,ROW()-1-$L$2+1,10),""),IF(ROW()-1&lt;=$L$2+$M$2+$N$2,IFERROR(INDEX(CLOZE_LIST!$A:$K,ROW()-1-$L$2-$M$2+1,10),""),IF(ROW()-1&lt;=$L$2+$M$2+$N$2+$O$2,IFERROR(INDEX(PROFORMA!$A:$K,ROW()-1-$L$2-$M$2-$N$2+1,10),""),"")))))</f>
        <v>user_supplied</v>
      </c>
      <c r="K96" s="3">
        <f>IF(ROW()-1&lt;=0,"",IF(ROW()-1&lt;=$L$2,IFERROR(INDEX(MCQ!$A:$K,ROW()-1+1,11),""),IF(ROW()-1&lt;=$L$2+$M$2,IFERROR(INDEX(CLOZE_AB!$A:$K,ROW()-1-$L$2+1,11),""),IF(ROW()-1&lt;=$L$2+$M$2+$N$2,IFERROR(INDEX(CLOZE_LIST!$A:$K,ROW()-1-$L$2-$M$2+1,11),""),IF(ROW()-1&lt;=$L$2+$M$2+$N$2+$O$2,IFERROR(INDEX(PROFORMA!$A:$K,ROW()-1-$L$2-$M$2-$N$2+1,11),""),"")))))</f>
        <v>1</v>
      </c>
      <c r="L96" s="3">
        <f>COUNTA(MCQ!$A:$A)-1</f>
        <v>122</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MCQ_FR_FILE_TAXDEAD_030</v>
      </c>
      <c r="B97" s="3" t="str">
        <f>IF(ROW()-1&lt;=0,"",IF(ROW()-1&lt;=$L$2,IFERROR(INDEX(MCQ!$A:$K,ROW()-1+1,2),""),IF(ROW()-1&lt;=$L$2+$M$2,IFERROR(INDEX(CLOZE_AB!$A:$K,ROW()-1-$L$2+1,2),""),IF(ROW()-1&lt;=$L$2+$M$2+$N$2,IFERROR(INDEX(CLOZE_LIST!$A:$K,ROW()-1-$L$2-$M$2+1,2),""),IF(ROW()-1&lt;=$L$2+$M$2+$N$2+$O$2,IFERROR(INDEX(PROFORMA!$A:$K,ROW()-1-$L$2-$M$2-$N$2+1,2),""),"")))))</f>
        <v>Filing rules</v>
      </c>
      <c r="C97" s="3" t="str">
        <f>IF(ROW()-1&lt;=0,"",IF(ROW()-1&lt;=$L$2,IFERROR(INDEX(MCQ!$A:$K,ROW()-1+1,3),""),IF(ROW()-1&lt;=$L$2+$M$2,IFERROR(INDEX(CLOZE_AB!$A:$K,ROW()-1-$L$2+1,3),""),IF(ROW()-1&lt;=$L$2+$M$2+$N$2,IFERROR(INDEX(CLOZE_LIST!$A:$K,ROW()-1-$L$2-$M$2+1,3),""),IF(ROW()-1&lt;=$L$2+$M$2+$N$2+$O$2,IFERROR(INDEX(PROFORMA!$A:$K,ROW()-1-$L$2-$M$2-$N$2+1,3),""),"")))))</f>
        <v>filing_requirements</v>
      </c>
      <c r="D97" s="3" t="str">
        <f>IF(ROW()-1&lt;=0,"",IF(ROW()-1&lt;=$L$2,IFERROR(INDEX(MCQ!$A:$K,ROW()-1+1,4),""),IF(ROW()-1&lt;=$L$2+$M$2,IFERROR(INDEX(CLOZE_AB!$A:$K,ROW()-1-$L$2+1,4),""),IF(ROW()-1&lt;=$L$2+$M$2+$N$2,IFERROR(INDEX(CLOZE_LIST!$A:$K,ROW()-1-$L$2-$M$2+1,4),""),IF(ROW()-1&lt;=$L$2+$M$2+$N$2+$O$2,IFERROR(INDEX(PROFORMA!$A:$K,ROW()-1-$L$2-$M$2-$N$2+1,4),""),"")))))</f>
        <v>Filing, payment and claims deadlines</v>
      </c>
      <c r="E97" s="3" t="str">
        <f>IF(ROW()-1&lt;=0,"",IF(ROW()-1&lt;=$L$2,IFERROR(INDEX(MCQ!$A:$K,ROW()-1+1,5),""),IF(ROW()-1&lt;=$L$2+$M$2,IFERROR(INDEX(CLOZE_AB!$A:$K,ROW()-1-$L$2+1,5),""),IF(ROW()-1&lt;=$L$2+$M$2+$N$2,IFERROR(INDEX(CLOZE_LIST!$A:$K,ROW()-1-$L$2-$M$2+1,5),""),IF(ROW()-1&lt;=$L$2+$M$2+$N$2+$O$2,IFERROR(INDEX(PROFORMA!$A:$K,ROW()-1-$L$2-$M$2-$N$2+1,5),""),"")))))</f>
        <v>mcq_radio</v>
      </c>
      <c r="F97" s="3">
        <f>IF(ROW()-1&lt;=0,"",IF(ROW()-1&lt;=$L$2,IFERROR(INDEX(MCQ!$A:$K,ROW()-1+1,6),""),IF(ROW()-1&lt;=$L$2+$M$2,IFERROR(INDEX(CLOZE_AB!$A:$K,ROW()-1-$L$2+1,6),""),IF(ROW()-1&lt;=$L$2+$M$2+$N$2,IFERROR(INDEX(CLOZE_LIST!$A:$K,ROW()-1-$L$2-$M$2+1,6),""),IF(ROW()-1&lt;=$L$2+$M$2+$N$2+$O$2,IFERROR(INDEX(PROFORMA!$A:$K,ROW()-1-$L$2-$M$2-$N$2+1,6),""),"")))))</f>
        <v>3</v>
      </c>
      <c r="G97" s="3" t="str">
        <f>IF(ROW()-1&lt;=0,"",IF(ROW()-1&lt;=$L$2,IFERROR(INDEX(MCQ!$A:$K,ROW()-1+1,7),""),IF(ROW()-1&lt;=$L$2+$M$2,IFERROR(INDEX(CLOZE_AB!$A:$K,ROW()-1-$L$2+1,7),""),IF(ROW()-1&lt;=$L$2+$M$2+$N$2,IFERROR(INDEX(CLOZE_LIST!$A:$K,ROW()-1-$L$2-$M$2+1,7),""),IF(ROW()-1&lt;=$L$2+$M$2+$N$2+$O$2,IFERROR(INDEX(PROFORMA!$A:$K,ROW()-1-$L$2-$M$2-$N$2+1,7),""),"")))))</f>
        <v>core</v>
      </c>
      <c r="H97" s="3" t="str">
        <f>IF(ROW()-1&lt;=0,"",IF(ROW()-1&lt;=$L$2,IFERROR(INDEX(MCQ!$A:$K,ROW()-1+1,8),""),IF(ROW()-1&lt;=$L$2+$M$2,IFERROR(INDEX(CLOZE_AB!$A:$K,ROW()-1-$L$2+1,8),""),IF(ROW()-1&lt;=$L$2+$M$2+$N$2,IFERROR(INDEX(CLOZE_LIST!$A:$K,ROW()-1-$L$2-$M$2+1,8),""),IF(ROW()-1&lt;=$L$2+$M$2+$N$2+$O$2,IFERROR(INDEX(PROFORMA!$A:$K,ROW()-1-$L$2-$M$2-$N$2+1,8),""),"")))))</f>
        <v>Y</v>
      </c>
      <c r="I97" s="3" t="str">
        <f>IF(ROW()-1&lt;=0,"",IF(ROW()-1&lt;=$L$2,IFERROR(INDEX(MCQ!$A:$K,ROW()-1+1,9),""),IF(ROW()-1&lt;=$L$2+$M$2,IFERROR(INDEX(CLOZE_AB!$A:$K,ROW()-1-$L$2+1,9),""),IF(ROW()-1&lt;=$L$2+$M$2+$N$2,IFERROR(INDEX(CLOZE_LIST!$A:$K,ROW()-1-$L$2-$M$2+1,9),""),IF(ROW()-1&lt;=$L$2+$M$2+$N$2+$O$2,IFERROR(INDEX(PROFORMA!$A:$K,ROW()-1-$L$2-$M$2-$N$2+1,9),""),"")))))</f>
        <v>deadlines;claims</v>
      </c>
      <c r="J97" s="3" t="str">
        <f>IF(ROW()-1&lt;=0,"",IF(ROW()-1&lt;=$L$2,IFERROR(INDEX(MCQ!$A:$K,ROW()-1+1,10),""),IF(ROW()-1&lt;=$L$2+$M$2,IFERROR(INDEX(CLOZE_AB!$A:$K,ROW()-1-$L$2+1,10),""),IF(ROW()-1&lt;=$L$2+$M$2+$N$2,IFERROR(INDEX(CLOZE_LIST!$A:$K,ROW()-1-$L$2-$M$2+1,10),""),IF(ROW()-1&lt;=$L$2+$M$2+$N$2+$O$2,IFERROR(INDEX(PROFORMA!$A:$K,ROW()-1-$L$2-$M$2-$N$2+1,10),""),"")))))</f>
        <v>user_supplied</v>
      </c>
      <c r="K97" s="3">
        <f>IF(ROW()-1&lt;=0,"",IF(ROW()-1&lt;=$L$2,IFERROR(INDEX(MCQ!$A:$K,ROW()-1+1,11),""),IF(ROW()-1&lt;=$L$2+$M$2,IFERROR(INDEX(CLOZE_AB!$A:$K,ROW()-1-$L$2+1,11),""),IF(ROW()-1&lt;=$L$2+$M$2+$N$2,IFERROR(INDEX(CLOZE_LIST!$A:$K,ROW()-1-$L$2-$M$2+1,11),""),IF(ROW()-1&lt;=$L$2+$M$2+$N$2+$O$2,IFERROR(INDEX(PROFORMA!$A:$K,ROW()-1-$L$2-$M$2-$N$2+1,11),""),"")))))</f>
        <v>1</v>
      </c>
      <c r="L97" s="3">
        <f>COUNTA(MCQ!$A:$A)-1</f>
        <v>122</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MCQ_FR_FILE_TAXDEAD_031</v>
      </c>
      <c r="B98" s="3" t="str">
        <f>IF(ROW()-1&lt;=0,"",IF(ROW()-1&lt;=$L$2,IFERROR(INDEX(MCQ!$A:$K,ROW()-1+1,2),""),IF(ROW()-1&lt;=$L$2+$M$2,IFERROR(INDEX(CLOZE_AB!$A:$K,ROW()-1-$L$2+1,2),""),IF(ROW()-1&lt;=$L$2+$M$2+$N$2,IFERROR(INDEX(CLOZE_LIST!$A:$K,ROW()-1-$L$2-$M$2+1,2),""),IF(ROW()-1&lt;=$L$2+$M$2+$N$2+$O$2,IFERROR(INDEX(PROFORMA!$A:$K,ROW()-1-$L$2-$M$2-$N$2+1,2),""),"")))))</f>
        <v>Filing rules</v>
      </c>
      <c r="C98" s="3" t="str">
        <f>IF(ROW()-1&lt;=0,"",IF(ROW()-1&lt;=$L$2,IFERROR(INDEX(MCQ!$A:$K,ROW()-1+1,3),""),IF(ROW()-1&lt;=$L$2+$M$2,IFERROR(INDEX(CLOZE_AB!$A:$K,ROW()-1-$L$2+1,3),""),IF(ROW()-1&lt;=$L$2+$M$2+$N$2,IFERROR(INDEX(CLOZE_LIST!$A:$K,ROW()-1-$L$2-$M$2+1,3),""),IF(ROW()-1&lt;=$L$2+$M$2+$N$2+$O$2,IFERROR(INDEX(PROFORMA!$A:$K,ROW()-1-$L$2-$M$2-$N$2+1,3),""),"")))))</f>
        <v>filing_requirements</v>
      </c>
      <c r="D98" s="3" t="str">
        <f>IF(ROW()-1&lt;=0,"",IF(ROW()-1&lt;=$L$2,IFERROR(INDEX(MCQ!$A:$K,ROW()-1+1,4),""),IF(ROW()-1&lt;=$L$2+$M$2,IFERROR(INDEX(CLOZE_AB!$A:$K,ROW()-1-$L$2+1,4),""),IF(ROW()-1&lt;=$L$2+$M$2+$N$2,IFERROR(INDEX(CLOZE_LIST!$A:$K,ROW()-1-$L$2-$M$2+1,4),""),IF(ROW()-1&lt;=$L$2+$M$2+$N$2+$O$2,IFERROR(INDEX(PROFORMA!$A:$K,ROW()-1-$L$2-$M$2-$N$2+1,4),""),"")))))</f>
        <v>Filing, payment and claims deadlines</v>
      </c>
      <c r="E98" s="3" t="str">
        <f>IF(ROW()-1&lt;=0,"",IF(ROW()-1&lt;=$L$2,IFERROR(INDEX(MCQ!$A:$K,ROW()-1+1,5),""),IF(ROW()-1&lt;=$L$2+$M$2,IFERROR(INDEX(CLOZE_AB!$A:$K,ROW()-1-$L$2+1,5),""),IF(ROW()-1&lt;=$L$2+$M$2+$N$2,IFERROR(INDEX(CLOZE_LIST!$A:$K,ROW()-1-$L$2-$M$2+1,5),""),IF(ROW()-1&lt;=$L$2+$M$2+$N$2+$O$2,IFERROR(INDEX(PROFORMA!$A:$K,ROW()-1-$L$2-$M$2-$N$2+1,5),""),"")))))</f>
        <v>mcq_radio</v>
      </c>
      <c r="F98" s="3">
        <f>IF(ROW()-1&lt;=0,"",IF(ROW()-1&lt;=$L$2,IFERROR(INDEX(MCQ!$A:$K,ROW()-1+1,6),""),IF(ROW()-1&lt;=$L$2+$M$2,IFERROR(INDEX(CLOZE_AB!$A:$K,ROW()-1-$L$2+1,6),""),IF(ROW()-1&lt;=$L$2+$M$2+$N$2,IFERROR(INDEX(CLOZE_LIST!$A:$K,ROW()-1-$L$2-$M$2+1,6),""),IF(ROW()-1&lt;=$L$2+$M$2+$N$2+$O$2,IFERROR(INDEX(PROFORMA!$A:$K,ROW()-1-$L$2-$M$2-$N$2+1,6),""),"")))))</f>
        <v>3</v>
      </c>
      <c r="G98" s="3" t="str">
        <f>IF(ROW()-1&lt;=0,"",IF(ROW()-1&lt;=$L$2,IFERROR(INDEX(MCQ!$A:$K,ROW()-1+1,7),""),IF(ROW()-1&lt;=$L$2+$M$2,IFERROR(INDEX(CLOZE_AB!$A:$K,ROW()-1-$L$2+1,7),""),IF(ROW()-1&lt;=$L$2+$M$2+$N$2,IFERROR(INDEX(CLOZE_LIST!$A:$K,ROW()-1-$L$2-$M$2+1,7),""),IF(ROW()-1&lt;=$L$2+$M$2+$N$2+$O$2,IFERROR(INDEX(PROFORMA!$A:$K,ROW()-1-$L$2-$M$2-$N$2+1,7),""),"")))))</f>
        <v>core</v>
      </c>
      <c r="H98" s="3" t="str">
        <f>IF(ROW()-1&lt;=0,"",IF(ROW()-1&lt;=$L$2,IFERROR(INDEX(MCQ!$A:$K,ROW()-1+1,8),""),IF(ROW()-1&lt;=$L$2+$M$2,IFERROR(INDEX(CLOZE_AB!$A:$K,ROW()-1-$L$2+1,8),""),IF(ROW()-1&lt;=$L$2+$M$2+$N$2,IFERROR(INDEX(CLOZE_LIST!$A:$K,ROW()-1-$L$2-$M$2+1,8),""),IF(ROW()-1&lt;=$L$2+$M$2+$N$2+$O$2,IFERROR(INDEX(PROFORMA!$A:$K,ROW()-1-$L$2-$M$2-$N$2+1,8),""),"")))))</f>
        <v>Y</v>
      </c>
      <c r="I98" s="3" t="str">
        <f>IF(ROW()-1&lt;=0,"",IF(ROW()-1&lt;=$L$2,IFERROR(INDEX(MCQ!$A:$K,ROW()-1+1,9),""),IF(ROW()-1&lt;=$L$2+$M$2,IFERROR(INDEX(CLOZE_AB!$A:$K,ROW()-1-$L$2+1,9),""),IF(ROW()-1&lt;=$L$2+$M$2+$N$2,IFERROR(INDEX(CLOZE_LIST!$A:$K,ROW()-1-$L$2-$M$2+1,9),""),IF(ROW()-1&lt;=$L$2+$M$2+$N$2+$O$2,IFERROR(INDEX(PROFORMA!$A:$K,ROW()-1-$L$2-$M$2-$N$2+1,9),""),"")))))</f>
        <v>deadlines;claims</v>
      </c>
      <c r="J98" s="3" t="str">
        <f>IF(ROW()-1&lt;=0,"",IF(ROW()-1&lt;=$L$2,IFERROR(INDEX(MCQ!$A:$K,ROW()-1+1,10),""),IF(ROW()-1&lt;=$L$2+$M$2,IFERROR(INDEX(CLOZE_AB!$A:$K,ROW()-1-$L$2+1,10),""),IF(ROW()-1&lt;=$L$2+$M$2+$N$2,IFERROR(INDEX(CLOZE_LIST!$A:$K,ROW()-1-$L$2-$M$2+1,10),""),IF(ROW()-1&lt;=$L$2+$M$2+$N$2+$O$2,IFERROR(INDEX(PROFORMA!$A:$K,ROW()-1-$L$2-$M$2-$N$2+1,10),""),"")))))</f>
        <v>user_supplied</v>
      </c>
      <c r="K98" s="3">
        <f>IF(ROW()-1&lt;=0,"",IF(ROW()-1&lt;=$L$2,IFERROR(INDEX(MCQ!$A:$K,ROW()-1+1,11),""),IF(ROW()-1&lt;=$L$2+$M$2,IFERROR(INDEX(CLOZE_AB!$A:$K,ROW()-1-$L$2+1,11),""),IF(ROW()-1&lt;=$L$2+$M$2+$N$2,IFERROR(INDEX(CLOZE_LIST!$A:$K,ROW()-1-$L$2-$M$2+1,11),""),IF(ROW()-1&lt;=$L$2+$M$2+$N$2+$O$2,IFERROR(INDEX(PROFORMA!$A:$K,ROW()-1-$L$2-$M$2-$N$2+1,11),""),"")))))</f>
        <v>1</v>
      </c>
      <c r="L98" s="3">
        <f>COUNTA(MCQ!$A:$A)-1</f>
        <v>122</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MCQ_FR_FILE_TAXDEAD_032</v>
      </c>
      <c r="B99" s="3" t="str">
        <f>IF(ROW()-1&lt;=0,"",IF(ROW()-1&lt;=$L$2,IFERROR(INDEX(MCQ!$A:$K,ROW()-1+1,2),""),IF(ROW()-1&lt;=$L$2+$M$2,IFERROR(INDEX(CLOZE_AB!$A:$K,ROW()-1-$L$2+1,2),""),IF(ROW()-1&lt;=$L$2+$M$2+$N$2,IFERROR(INDEX(CLOZE_LIST!$A:$K,ROW()-1-$L$2-$M$2+1,2),""),IF(ROW()-1&lt;=$L$2+$M$2+$N$2+$O$2,IFERROR(INDEX(PROFORMA!$A:$K,ROW()-1-$L$2-$M$2-$N$2+1,2),""),"")))))</f>
        <v>Filing rules</v>
      </c>
      <c r="C99" s="3" t="str">
        <f>IF(ROW()-1&lt;=0,"",IF(ROW()-1&lt;=$L$2,IFERROR(INDEX(MCQ!$A:$K,ROW()-1+1,3),""),IF(ROW()-1&lt;=$L$2+$M$2,IFERROR(INDEX(CLOZE_AB!$A:$K,ROW()-1-$L$2+1,3),""),IF(ROW()-1&lt;=$L$2+$M$2+$N$2,IFERROR(INDEX(CLOZE_LIST!$A:$K,ROW()-1-$L$2-$M$2+1,3),""),IF(ROW()-1&lt;=$L$2+$M$2+$N$2+$O$2,IFERROR(INDEX(PROFORMA!$A:$K,ROW()-1-$L$2-$M$2-$N$2+1,3),""),"")))))</f>
        <v>filing_requirements</v>
      </c>
      <c r="D99" s="3" t="str">
        <f>IF(ROW()-1&lt;=0,"",IF(ROW()-1&lt;=$L$2,IFERROR(INDEX(MCQ!$A:$K,ROW()-1+1,4),""),IF(ROW()-1&lt;=$L$2+$M$2,IFERROR(INDEX(CLOZE_AB!$A:$K,ROW()-1-$L$2+1,4),""),IF(ROW()-1&lt;=$L$2+$M$2+$N$2,IFERROR(INDEX(CLOZE_LIST!$A:$K,ROW()-1-$L$2-$M$2+1,4),""),IF(ROW()-1&lt;=$L$2+$M$2+$N$2+$O$2,IFERROR(INDEX(PROFORMA!$A:$K,ROW()-1-$L$2-$M$2-$N$2+1,4),""),"")))))</f>
        <v>Filing, payment and claims deadlines</v>
      </c>
      <c r="E99" s="3" t="str">
        <f>IF(ROW()-1&lt;=0,"",IF(ROW()-1&lt;=$L$2,IFERROR(INDEX(MCQ!$A:$K,ROW()-1+1,5),""),IF(ROW()-1&lt;=$L$2+$M$2,IFERROR(INDEX(CLOZE_AB!$A:$K,ROW()-1-$L$2+1,5),""),IF(ROW()-1&lt;=$L$2+$M$2+$N$2,IFERROR(INDEX(CLOZE_LIST!$A:$K,ROW()-1-$L$2-$M$2+1,5),""),IF(ROW()-1&lt;=$L$2+$M$2+$N$2+$O$2,IFERROR(INDEX(PROFORMA!$A:$K,ROW()-1-$L$2-$M$2-$N$2+1,5),""),"")))))</f>
        <v>mcq_radio</v>
      </c>
      <c r="F99" s="3">
        <f>IF(ROW()-1&lt;=0,"",IF(ROW()-1&lt;=$L$2,IFERROR(INDEX(MCQ!$A:$K,ROW()-1+1,6),""),IF(ROW()-1&lt;=$L$2+$M$2,IFERROR(INDEX(CLOZE_AB!$A:$K,ROW()-1-$L$2+1,6),""),IF(ROW()-1&lt;=$L$2+$M$2+$N$2,IFERROR(INDEX(CLOZE_LIST!$A:$K,ROW()-1-$L$2-$M$2+1,6),""),IF(ROW()-1&lt;=$L$2+$M$2+$N$2+$O$2,IFERROR(INDEX(PROFORMA!$A:$K,ROW()-1-$L$2-$M$2-$N$2+1,6),""),"")))))</f>
        <v>3</v>
      </c>
      <c r="G99" s="3" t="str">
        <f>IF(ROW()-1&lt;=0,"",IF(ROW()-1&lt;=$L$2,IFERROR(INDEX(MCQ!$A:$K,ROW()-1+1,7),""),IF(ROW()-1&lt;=$L$2+$M$2,IFERROR(INDEX(CLOZE_AB!$A:$K,ROW()-1-$L$2+1,7),""),IF(ROW()-1&lt;=$L$2+$M$2+$N$2,IFERROR(INDEX(CLOZE_LIST!$A:$K,ROW()-1-$L$2-$M$2+1,7),""),IF(ROW()-1&lt;=$L$2+$M$2+$N$2+$O$2,IFERROR(INDEX(PROFORMA!$A:$K,ROW()-1-$L$2-$M$2-$N$2+1,7),""),"")))))</f>
        <v>core</v>
      </c>
      <c r="H99" s="3" t="str">
        <f>IF(ROW()-1&lt;=0,"",IF(ROW()-1&lt;=$L$2,IFERROR(INDEX(MCQ!$A:$K,ROW()-1+1,8),""),IF(ROW()-1&lt;=$L$2+$M$2,IFERROR(INDEX(CLOZE_AB!$A:$K,ROW()-1-$L$2+1,8),""),IF(ROW()-1&lt;=$L$2+$M$2+$N$2,IFERROR(INDEX(CLOZE_LIST!$A:$K,ROW()-1-$L$2-$M$2+1,8),""),IF(ROW()-1&lt;=$L$2+$M$2+$N$2+$O$2,IFERROR(INDEX(PROFORMA!$A:$K,ROW()-1-$L$2-$M$2-$N$2+1,8),""),"")))))</f>
        <v>Y</v>
      </c>
      <c r="I99" s="3" t="str">
        <f>IF(ROW()-1&lt;=0,"",IF(ROW()-1&lt;=$L$2,IFERROR(INDEX(MCQ!$A:$K,ROW()-1+1,9),""),IF(ROW()-1&lt;=$L$2+$M$2,IFERROR(INDEX(CLOZE_AB!$A:$K,ROW()-1-$L$2+1,9),""),IF(ROW()-1&lt;=$L$2+$M$2+$N$2,IFERROR(INDEX(CLOZE_LIST!$A:$K,ROW()-1-$L$2-$M$2+1,9),""),IF(ROW()-1&lt;=$L$2+$M$2+$N$2+$O$2,IFERROR(INDEX(PROFORMA!$A:$K,ROW()-1-$L$2-$M$2-$N$2+1,9),""),"")))))</f>
        <v>deadlines;claims</v>
      </c>
      <c r="J99" s="3" t="str">
        <f>IF(ROW()-1&lt;=0,"",IF(ROW()-1&lt;=$L$2,IFERROR(INDEX(MCQ!$A:$K,ROW()-1+1,10),""),IF(ROW()-1&lt;=$L$2+$M$2,IFERROR(INDEX(CLOZE_AB!$A:$K,ROW()-1-$L$2+1,10),""),IF(ROW()-1&lt;=$L$2+$M$2+$N$2,IFERROR(INDEX(CLOZE_LIST!$A:$K,ROW()-1-$L$2-$M$2+1,10),""),IF(ROW()-1&lt;=$L$2+$M$2+$N$2+$O$2,IFERROR(INDEX(PROFORMA!$A:$K,ROW()-1-$L$2-$M$2-$N$2+1,10),""),"")))))</f>
        <v>user_supplied</v>
      </c>
      <c r="K99" s="3">
        <f>IF(ROW()-1&lt;=0,"",IF(ROW()-1&lt;=$L$2,IFERROR(INDEX(MCQ!$A:$K,ROW()-1+1,11),""),IF(ROW()-1&lt;=$L$2+$M$2,IFERROR(INDEX(CLOZE_AB!$A:$K,ROW()-1-$L$2+1,11),""),IF(ROW()-1&lt;=$L$2+$M$2+$N$2,IFERROR(INDEX(CLOZE_LIST!$A:$K,ROW()-1-$L$2-$M$2+1,11),""),IF(ROW()-1&lt;=$L$2+$M$2+$N$2+$O$2,IFERROR(INDEX(PROFORMA!$A:$K,ROW()-1-$L$2-$M$2-$N$2+1,11),""),"")))))</f>
        <v>1</v>
      </c>
      <c r="L99" s="3">
        <f>COUNTA(MCQ!$A:$A)-1</f>
        <v>122</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MCQ_FR_FILE_TAXDEAD_033</v>
      </c>
      <c r="B100" s="3" t="str">
        <f>IF(ROW()-1&lt;=0,"",IF(ROW()-1&lt;=$L$2,IFERROR(INDEX(MCQ!$A:$K,ROW()-1+1,2),""),IF(ROW()-1&lt;=$L$2+$M$2,IFERROR(INDEX(CLOZE_AB!$A:$K,ROW()-1-$L$2+1,2),""),IF(ROW()-1&lt;=$L$2+$M$2+$N$2,IFERROR(INDEX(CLOZE_LIST!$A:$K,ROW()-1-$L$2-$M$2+1,2),""),IF(ROW()-1&lt;=$L$2+$M$2+$N$2+$O$2,IFERROR(INDEX(PROFORMA!$A:$K,ROW()-1-$L$2-$M$2-$N$2+1,2),""),"")))))</f>
        <v>Filing rules</v>
      </c>
      <c r="C100" s="3" t="str">
        <f>IF(ROW()-1&lt;=0,"",IF(ROW()-1&lt;=$L$2,IFERROR(INDEX(MCQ!$A:$K,ROW()-1+1,3),""),IF(ROW()-1&lt;=$L$2+$M$2,IFERROR(INDEX(CLOZE_AB!$A:$K,ROW()-1-$L$2+1,3),""),IF(ROW()-1&lt;=$L$2+$M$2+$N$2,IFERROR(INDEX(CLOZE_LIST!$A:$K,ROW()-1-$L$2-$M$2+1,3),""),IF(ROW()-1&lt;=$L$2+$M$2+$N$2+$O$2,IFERROR(INDEX(PROFORMA!$A:$K,ROW()-1-$L$2-$M$2-$N$2+1,3),""),"")))))</f>
        <v>filing_requirements</v>
      </c>
      <c r="D100" s="3" t="str">
        <f>IF(ROW()-1&lt;=0,"",IF(ROW()-1&lt;=$L$2,IFERROR(INDEX(MCQ!$A:$K,ROW()-1+1,4),""),IF(ROW()-1&lt;=$L$2+$M$2,IFERROR(INDEX(CLOZE_AB!$A:$K,ROW()-1-$L$2+1,4),""),IF(ROW()-1&lt;=$L$2+$M$2+$N$2,IFERROR(INDEX(CLOZE_LIST!$A:$K,ROW()-1-$L$2-$M$2+1,4),""),IF(ROW()-1&lt;=$L$2+$M$2+$N$2+$O$2,IFERROR(INDEX(PROFORMA!$A:$K,ROW()-1-$L$2-$M$2-$N$2+1,4),""),"")))))</f>
        <v>Filing, payment and claims deadlines</v>
      </c>
      <c r="E100" s="3" t="str">
        <f>IF(ROW()-1&lt;=0,"",IF(ROW()-1&lt;=$L$2,IFERROR(INDEX(MCQ!$A:$K,ROW()-1+1,5),""),IF(ROW()-1&lt;=$L$2+$M$2,IFERROR(INDEX(CLOZE_AB!$A:$K,ROW()-1-$L$2+1,5),""),IF(ROW()-1&lt;=$L$2+$M$2+$N$2,IFERROR(INDEX(CLOZE_LIST!$A:$K,ROW()-1-$L$2-$M$2+1,5),""),IF(ROW()-1&lt;=$L$2+$M$2+$N$2+$O$2,IFERROR(INDEX(PROFORMA!$A:$K,ROW()-1-$L$2-$M$2-$N$2+1,5),""),"")))))</f>
        <v>mcq_radio</v>
      </c>
      <c r="F100" s="3">
        <f>IF(ROW()-1&lt;=0,"",IF(ROW()-1&lt;=$L$2,IFERROR(INDEX(MCQ!$A:$K,ROW()-1+1,6),""),IF(ROW()-1&lt;=$L$2+$M$2,IFERROR(INDEX(CLOZE_AB!$A:$K,ROW()-1-$L$2+1,6),""),IF(ROW()-1&lt;=$L$2+$M$2+$N$2,IFERROR(INDEX(CLOZE_LIST!$A:$K,ROW()-1-$L$2-$M$2+1,6),""),IF(ROW()-1&lt;=$L$2+$M$2+$N$2+$O$2,IFERROR(INDEX(PROFORMA!$A:$K,ROW()-1-$L$2-$M$2-$N$2+1,6),""),"")))))</f>
        <v>3</v>
      </c>
      <c r="G100" s="3" t="str">
        <f>IF(ROW()-1&lt;=0,"",IF(ROW()-1&lt;=$L$2,IFERROR(INDEX(MCQ!$A:$K,ROW()-1+1,7),""),IF(ROW()-1&lt;=$L$2+$M$2,IFERROR(INDEX(CLOZE_AB!$A:$K,ROW()-1-$L$2+1,7),""),IF(ROW()-1&lt;=$L$2+$M$2+$N$2,IFERROR(INDEX(CLOZE_LIST!$A:$K,ROW()-1-$L$2-$M$2+1,7),""),IF(ROW()-1&lt;=$L$2+$M$2+$N$2+$O$2,IFERROR(INDEX(PROFORMA!$A:$K,ROW()-1-$L$2-$M$2-$N$2+1,7),""),"")))))</f>
        <v>core</v>
      </c>
      <c r="H100" s="3" t="str">
        <f>IF(ROW()-1&lt;=0,"",IF(ROW()-1&lt;=$L$2,IFERROR(INDEX(MCQ!$A:$K,ROW()-1+1,8),""),IF(ROW()-1&lt;=$L$2+$M$2,IFERROR(INDEX(CLOZE_AB!$A:$K,ROW()-1-$L$2+1,8),""),IF(ROW()-1&lt;=$L$2+$M$2+$N$2,IFERROR(INDEX(CLOZE_LIST!$A:$K,ROW()-1-$L$2-$M$2+1,8),""),IF(ROW()-1&lt;=$L$2+$M$2+$N$2+$O$2,IFERROR(INDEX(PROFORMA!$A:$K,ROW()-1-$L$2-$M$2-$N$2+1,8),""),"")))))</f>
        <v>Y</v>
      </c>
      <c r="I100" s="3" t="str">
        <f>IF(ROW()-1&lt;=0,"",IF(ROW()-1&lt;=$L$2,IFERROR(INDEX(MCQ!$A:$K,ROW()-1+1,9),""),IF(ROW()-1&lt;=$L$2+$M$2,IFERROR(INDEX(CLOZE_AB!$A:$K,ROW()-1-$L$2+1,9),""),IF(ROW()-1&lt;=$L$2+$M$2+$N$2,IFERROR(INDEX(CLOZE_LIST!$A:$K,ROW()-1-$L$2-$M$2+1,9),""),IF(ROW()-1&lt;=$L$2+$M$2+$N$2+$O$2,IFERROR(INDEX(PROFORMA!$A:$K,ROW()-1-$L$2-$M$2-$N$2+1,9),""),"")))))</f>
        <v>deadlines;claims</v>
      </c>
      <c r="J100" s="3" t="str">
        <f>IF(ROW()-1&lt;=0,"",IF(ROW()-1&lt;=$L$2,IFERROR(INDEX(MCQ!$A:$K,ROW()-1+1,10),""),IF(ROW()-1&lt;=$L$2+$M$2,IFERROR(INDEX(CLOZE_AB!$A:$K,ROW()-1-$L$2+1,10),""),IF(ROW()-1&lt;=$L$2+$M$2+$N$2,IFERROR(INDEX(CLOZE_LIST!$A:$K,ROW()-1-$L$2-$M$2+1,10),""),IF(ROW()-1&lt;=$L$2+$M$2+$N$2+$O$2,IFERROR(INDEX(PROFORMA!$A:$K,ROW()-1-$L$2-$M$2-$N$2+1,10),""),"")))))</f>
        <v>user_supplied</v>
      </c>
      <c r="K100" s="3">
        <f>IF(ROW()-1&lt;=0,"",IF(ROW()-1&lt;=$L$2,IFERROR(INDEX(MCQ!$A:$K,ROW()-1+1,11),""),IF(ROW()-1&lt;=$L$2+$M$2,IFERROR(INDEX(CLOZE_AB!$A:$K,ROW()-1-$L$2+1,11),""),IF(ROW()-1&lt;=$L$2+$M$2+$N$2,IFERROR(INDEX(CLOZE_LIST!$A:$K,ROW()-1-$L$2-$M$2+1,11),""),IF(ROW()-1&lt;=$L$2+$M$2+$N$2+$O$2,IFERROR(INDEX(PROFORMA!$A:$K,ROW()-1-$L$2-$M$2-$N$2+1,11),""),"")))))</f>
        <v>1</v>
      </c>
      <c r="L100" s="3">
        <f>COUNTA(MCQ!$A:$A)-1</f>
        <v>122</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MCQ_FR_FILE_TAXDEAD_034</v>
      </c>
      <c r="B101" s="3" t="str">
        <f>IF(ROW()-1&lt;=0,"",IF(ROW()-1&lt;=$L$2,IFERROR(INDEX(MCQ!$A:$K,ROW()-1+1,2),""),IF(ROW()-1&lt;=$L$2+$M$2,IFERROR(INDEX(CLOZE_AB!$A:$K,ROW()-1-$L$2+1,2),""),IF(ROW()-1&lt;=$L$2+$M$2+$N$2,IFERROR(INDEX(CLOZE_LIST!$A:$K,ROW()-1-$L$2-$M$2+1,2),""),IF(ROW()-1&lt;=$L$2+$M$2+$N$2+$O$2,IFERROR(INDEX(PROFORMA!$A:$K,ROW()-1-$L$2-$M$2-$N$2+1,2),""),"")))))</f>
        <v>Filing rules</v>
      </c>
      <c r="C101" s="3" t="str">
        <f>IF(ROW()-1&lt;=0,"",IF(ROW()-1&lt;=$L$2,IFERROR(INDEX(MCQ!$A:$K,ROW()-1+1,3),""),IF(ROW()-1&lt;=$L$2+$M$2,IFERROR(INDEX(CLOZE_AB!$A:$K,ROW()-1-$L$2+1,3),""),IF(ROW()-1&lt;=$L$2+$M$2+$N$2,IFERROR(INDEX(CLOZE_LIST!$A:$K,ROW()-1-$L$2-$M$2+1,3),""),IF(ROW()-1&lt;=$L$2+$M$2+$N$2+$O$2,IFERROR(INDEX(PROFORMA!$A:$K,ROW()-1-$L$2-$M$2-$N$2+1,3),""),"")))))</f>
        <v>filing_requirements</v>
      </c>
      <c r="D101" s="3" t="str">
        <f>IF(ROW()-1&lt;=0,"",IF(ROW()-1&lt;=$L$2,IFERROR(INDEX(MCQ!$A:$K,ROW()-1+1,4),""),IF(ROW()-1&lt;=$L$2+$M$2,IFERROR(INDEX(CLOZE_AB!$A:$K,ROW()-1-$L$2+1,4),""),IF(ROW()-1&lt;=$L$2+$M$2+$N$2,IFERROR(INDEX(CLOZE_LIST!$A:$K,ROW()-1-$L$2-$M$2+1,4),""),IF(ROW()-1&lt;=$L$2+$M$2+$N$2+$O$2,IFERROR(INDEX(PROFORMA!$A:$K,ROW()-1-$L$2-$M$2-$N$2+1,4),""),"")))))</f>
        <v>Filing, payment and claims deadlines</v>
      </c>
      <c r="E101" s="3" t="str">
        <f>IF(ROW()-1&lt;=0,"",IF(ROW()-1&lt;=$L$2,IFERROR(INDEX(MCQ!$A:$K,ROW()-1+1,5),""),IF(ROW()-1&lt;=$L$2+$M$2,IFERROR(INDEX(CLOZE_AB!$A:$K,ROW()-1-$L$2+1,5),""),IF(ROW()-1&lt;=$L$2+$M$2+$N$2,IFERROR(INDEX(CLOZE_LIST!$A:$K,ROW()-1-$L$2-$M$2+1,5),""),IF(ROW()-1&lt;=$L$2+$M$2+$N$2+$O$2,IFERROR(INDEX(PROFORMA!$A:$K,ROW()-1-$L$2-$M$2-$N$2+1,5),""),"")))))</f>
        <v>mcq_radio</v>
      </c>
      <c r="F101" s="3">
        <f>IF(ROW()-1&lt;=0,"",IF(ROW()-1&lt;=$L$2,IFERROR(INDEX(MCQ!$A:$K,ROW()-1+1,6),""),IF(ROW()-1&lt;=$L$2+$M$2,IFERROR(INDEX(CLOZE_AB!$A:$K,ROW()-1-$L$2+1,6),""),IF(ROW()-1&lt;=$L$2+$M$2+$N$2,IFERROR(INDEX(CLOZE_LIST!$A:$K,ROW()-1-$L$2-$M$2+1,6),""),IF(ROW()-1&lt;=$L$2+$M$2+$N$2+$O$2,IFERROR(INDEX(PROFORMA!$A:$K,ROW()-1-$L$2-$M$2-$N$2+1,6),""),"")))))</f>
        <v>3</v>
      </c>
      <c r="G101" s="3" t="str">
        <f>IF(ROW()-1&lt;=0,"",IF(ROW()-1&lt;=$L$2,IFERROR(INDEX(MCQ!$A:$K,ROW()-1+1,7),""),IF(ROW()-1&lt;=$L$2+$M$2,IFERROR(INDEX(CLOZE_AB!$A:$K,ROW()-1-$L$2+1,7),""),IF(ROW()-1&lt;=$L$2+$M$2+$N$2,IFERROR(INDEX(CLOZE_LIST!$A:$K,ROW()-1-$L$2-$M$2+1,7),""),IF(ROW()-1&lt;=$L$2+$M$2+$N$2+$O$2,IFERROR(INDEX(PROFORMA!$A:$K,ROW()-1-$L$2-$M$2-$N$2+1,7),""),"")))))</f>
        <v>core</v>
      </c>
      <c r="H101" s="3" t="str">
        <f>IF(ROW()-1&lt;=0,"",IF(ROW()-1&lt;=$L$2,IFERROR(INDEX(MCQ!$A:$K,ROW()-1+1,8),""),IF(ROW()-1&lt;=$L$2+$M$2,IFERROR(INDEX(CLOZE_AB!$A:$K,ROW()-1-$L$2+1,8),""),IF(ROW()-1&lt;=$L$2+$M$2+$N$2,IFERROR(INDEX(CLOZE_LIST!$A:$K,ROW()-1-$L$2-$M$2+1,8),""),IF(ROW()-1&lt;=$L$2+$M$2+$N$2+$O$2,IFERROR(INDEX(PROFORMA!$A:$K,ROW()-1-$L$2-$M$2-$N$2+1,8),""),"")))))</f>
        <v>Y</v>
      </c>
      <c r="I101" s="3" t="str">
        <f>IF(ROW()-1&lt;=0,"",IF(ROW()-1&lt;=$L$2,IFERROR(INDEX(MCQ!$A:$K,ROW()-1+1,9),""),IF(ROW()-1&lt;=$L$2+$M$2,IFERROR(INDEX(CLOZE_AB!$A:$K,ROW()-1-$L$2+1,9),""),IF(ROW()-1&lt;=$L$2+$M$2+$N$2,IFERROR(INDEX(CLOZE_LIST!$A:$K,ROW()-1-$L$2-$M$2+1,9),""),IF(ROW()-1&lt;=$L$2+$M$2+$N$2+$O$2,IFERROR(INDEX(PROFORMA!$A:$K,ROW()-1-$L$2-$M$2-$N$2+1,9),""),"")))))</f>
        <v>deadlines;claims</v>
      </c>
      <c r="J101" s="3" t="str">
        <f>IF(ROW()-1&lt;=0,"",IF(ROW()-1&lt;=$L$2,IFERROR(INDEX(MCQ!$A:$K,ROW()-1+1,10),""),IF(ROW()-1&lt;=$L$2+$M$2,IFERROR(INDEX(CLOZE_AB!$A:$K,ROW()-1-$L$2+1,10),""),IF(ROW()-1&lt;=$L$2+$M$2+$N$2,IFERROR(INDEX(CLOZE_LIST!$A:$K,ROW()-1-$L$2-$M$2+1,10),""),IF(ROW()-1&lt;=$L$2+$M$2+$N$2+$O$2,IFERROR(INDEX(PROFORMA!$A:$K,ROW()-1-$L$2-$M$2-$N$2+1,10),""),"")))))</f>
        <v>user_supplied</v>
      </c>
      <c r="K101" s="3">
        <f>IF(ROW()-1&lt;=0,"",IF(ROW()-1&lt;=$L$2,IFERROR(INDEX(MCQ!$A:$K,ROW()-1+1,11),""),IF(ROW()-1&lt;=$L$2+$M$2,IFERROR(INDEX(CLOZE_AB!$A:$K,ROW()-1-$L$2+1,11),""),IF(ROW()-1&lt;=$L$2+$M$2+$N$2,IFERROR(INDEX(CLOZE_LIST!$A:$K,ROW()-1-$L$2-$M$2+1,11),""),IF(ROW()-1&lt;=$L$2+$M$2+$N$2+$O$2,IFERROR(INDEX(PROFORMA!$A:$K,ROW()-1-$L$2-$M$2-$N$2+1,11),""),"")))))</f>
        <v>1</v>
      </c>
      <c r="L101" s="3">
        <f>COUNTA(MCQ!$A:$A)-1</f>
        <v>122</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MCQ_FR_FILE_TAXDEAD_035</v>
      </c>
      <c r="B102" s="3" t="str">
        <f>IF(ROW()-1&lt;=0,"",IF(ROW()-1&lt;=$L$2,IFERROR(INDEX(MCQ!$A:$K,ROW()-1+1,2),""),IF(ROW()-1&lt;=$L$2+$M$2,IFERROR(INDEX(CLOZE_AB!$A:$K,ROW()-1-$L$2+1,2),""),IF(ROW()-1&lt;=$L$2+$M$2+$N$2,IFERROR(INDEX(CLOZE_LIST!$A:$K,ROW()-1-$L$2-$M$2+1,2),""),IF(ROW()-1&lt;=$L$2+$M$2+$N$2+$O$2,IFERROR(INDEX(PROFORMA!$A:$K,ROW()-1-$L$2-$M$2-$N$2+1,2),""),"")))))</f>
        <v>Filing rules</v>
      </c>
      <c r="C102" s="3" t="str">
        <f>IF(ROW()-1&lt;=0,"",IF(ROW()-1&lt;=$L$2,IFERROR(INDEX(MCQ!$A:$K,ROW()-1+1,3),""),IF(ROW()-1&lt;=$L$2+$M$2,IFERROR(INDEX(CLOZE_AB!$A:$K,ROW()-1-$L$2+1,3),""),IF(ROW()-1&lt;=$L$2+$M$2+$N$2,IFERROR(INDEX(CLOZE_LIST!$A:$K,ROW()-1-$L$2-$M$2+1,3),""),IF(ROW()-1&lt;=$L$2+$M$2+$N$2+$O$2,IFERROR(INDEX(PROFORMA!$A:$K,ROW()-1-$L$2-$M$2-$N$2+1,3),""),"")))))</f>
        <v>filing_requirements</v>
      </c>
      <c r="D102" s="3" t="str">
        <f>IF(ROW()-1&lt;=0,"",IF(ROW()-1&lt;=$L$2,IFERROR(INDEX(MCQ!$A:$K,ROW()-1+1,4),""),IF(ROW()-1&lt;=$L$2+$M$2,IFERROR(INDEX(CLOZE_AB!$A:$K,ROW()-1-$L$2+1,4),""),IF(ROW()-1&lt;=$L$2+$M$2+$N$2,IFERROR(INDEX(CLOZE_LIST!$A:$K,ROW()-1-$L$2-$M$2+1,4),""),IF(ROW()-1&lt;=$L$2+$M$2+$N$2+$O$2,IFERROR(INDEX(PROFORMA!$A:$K,ROW()-1-$L$2-$M$2-$N$2+1,4),""),"")))))</f>
        <v>Filing, payment and claims deadlines</v>
      </c>
      <c r="E102" s="3" t="str">
        <f>IF(ROW()-1&lt;=0,"",IF(ROW()-1&lt;=$L$2,IFERROR(INDEX(MCQ!$A:$K,ROW()-1+1,5),""),IF(ROW()-1&lt;=$L$2+$M$2,IFERROR(INDEX(CLOZE_AB!$A:$K,ROW()-1-$L$2+1,5),""),IF(ROW()-1&lt;=$L$2+$M$2+$N$2,IFERROR(INDEX(CLOZE_LIST!$A:$K,ROW()-1-$L$2-$M$2+1,5),""),IF(ROW()-1&lt;=$L$2+$M$2+$N$2+$O$2,IFERROR(INDEX(PROFORMA!$A:$K,ROW()-1-$L$2-$M$2-$N$2+1,5),""),"")))))</f>
        <v>mcq_radio</v>
      </c>
      <c r="F102" s="3">
        <f>IF(ROW()-1&lt;=0,"",IF(ROW()-1&lt;=$L$2,IFERROR(INDEX(MCQ!$A:$K,ROW()-1+1,6),""),IF(ROW()-1&lt;=$L$2+$M$2,IFERROR(INDEX(CLOZE_AB!$A:$K,ROW()-1-$L$2+1,6),""),IF(ROW()-1&lt;=$L$2+$M$2+$N$2,IFERROR(INDEX(CLOZE_LIST!$A:$K,ROW()-1-$L$2-$M$2+1,6),""),IF(ROW()-1&lt;=$L$2+$M$2+$N$2+$O$2,IFERROR(INDEX(PROFORMA!$A:$K,ROW()-1-$L$2-$M$2-$N$2+1,6),""),"")))))</f>
        <v>3</v>
      </c>
      <c r="G102" s="3" t="str">
        <f>IF(ROW()-1&lt;=0,"",IF(ROW()-1&lt;=$L$2,IFERROR(INDEX(MCQ!$A:$K,ROW()-1+1,7),""),IF(ROW()-1&lt;=$L$2+$M$2,IFERROR(INDEX(CLOZE_AB!$A:$K,ROW()-1-$L$2+1,7),""),IF(ROW()-1&lt;=$L$2+$M$2+$N$2,IFERROR(INDEX(CLOZE_LIST!$A:$K,ROW()-1-$L$2-$M$2+1,7),""),IF(ROW()-1&lt;=$L$2+$M$2+$N$2+$O$2,IFERROR(INDEX(PROFORMA!$A:$K,ROW()-1-$L$2-$M$2-$N$2+1,7),""),"")))))</f>
        <v>core</v>
      </c>
      <c r="H102" s="3" t="str">
        <f>IF(ROW()-1&lt;=0,"",IF(ROW()-1&lt;=$L$2,IFERROR(INDEX(MCQ!$A:$K,ROW()-1+1,8),""),IF(ROW()-1&lt;=$L$2+$M$2,IFERROR(INDEX(CLOZE_AB!$A:$K,ROW()-1-$L$2+1,8),""),IF(ROW()-1&lt;=$L$2+$M$2+$N$2,IFERROR(INDEX(CLOZE_LIST!$A:$K,ROW()-1-$L$2-$M$2+1,8),""),IF(ROW()-1&lt;=$L$2+$M$2+$N$2+$O$2,IFERROR(INDEX(PROFORMA!$A:$K,ROW()-1-$L$2-$M$2-$N$2+1,8),""),"")))))</f>
        <v>Y</v>
      </c>
      <c r="I102" s="3" t="str">
        <f>IF(ROW()-1&lt;=0,"",IF(ROW()-1&lt;=$L$2,IFERROR(INDEX(MCQ!$A:$K,ROW()-1+1,9),""),IF(ROW()-1&lt;=$L$2+$M$2,IFERROR(INDEX(CLOZE_AB!$A:$K,ROW()-1-$L$2+1,9),""),IF(ROW()-1&lt;=$L$2+$M$2+$N$2,IFERROR(INDEX(CLOZE_LIST!$A:$K,ROW()-1-$L$2-$M$2+1,9),""),IF(ROW()-1&lt;=$L$2+$M$2+$N$2+$O$2,IFERROR(INDEX(PROFORMA!$A:$K,ROW()-1-$L$2-$M$2-$N$2+1,9),""),"")))))</f>
        <v>deadlines;claims</v>
      </c>
      <c r="J102" s="3" t="str">
        <f>IF(ROW()-1&lt;=0,"",IF(ROW()-1&lt;=$L$2,IFERROR(INDEX(MCQ!$A:$K,ROW()-1+1,10),""),IF(ROW()-1&lt;=$L$2+$M$2,IFERROR(INDEX(CLOZE_AB!$A:$K,ROW()-1-$L$2+1,10),""),IF(ROW()-1&lt;=$L$2+$M$2+$N$2,IFERROR(INDEX(CLOZE_LIST!$A:$K,ROW()-1-$L$2-$M$2+1,10),""),IF(ROW()-1&lt;=$L$2+$M$2+$N$2+$O$2,IFERROR(INDEX(PROFORMA!$A:$K,ROW()-1-$L$2-$M$2-$N$2+1,10),""),"")))))</f>
        <v>user_supplied</v>
      </c>
      <c r="K102" s="3">
        <f>IF(ROW()-1&lt;=0,"",IF(ROW()-1&lt;=$L$2,IFERROR(INDEX(MCQ!$A:$K,ROW()-1+1,11),""),IF(ROW()-1&lt;=$L$2+$M$2,IFERROR(INDEX(CLOZE_AB!$A:$K,ROW()-1-$L$2+1,11),""),IF(ROW()-1&lt;=$L$2+$M$2+$N$2,IFERROR(INDEX(CLOZE_LIST!$A:$K,ROW()-1-$L$2-$M$2+1,11),""),IF(ROW()-1&lt;=$L$2+$M$2+$N$2+$O$2,IFERROR(INDEX(PROFORMA!$A:$K,ROW()-1-$L$2-$M$2-$N$2+1,11),""),"")))))</f>
        <v>1</v>
      </c>
      <c r="L102" s="3">
        <f>COUNTA(MCQ!$A:$A)-1</f>
        <v>122</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MCQ_FR_FILE_TAXDEAD_036</v>
      </c>
      <c r="B103" s="3" t="str">
        <f>IF(ROW()-1&lt;=0,"",IF(ROW()-1&lt;=$L$2,IFERROR(INDEX(MCQ!$A:$K,ROW()-1+1,2),""),IF(ROW()-1&lt;=$L$2+$M$2,IFERROR(INDEX(CLOZE_AB!$A:$K,ROW()-1-$L$2+1,2),""),IF(ROW()-1&lt;=$L$2+$M$2+$N$2,IFERROR(INDEX(CLOZE_LIST!$A:$K,ROW()-1-$L$2-$M$2+1,2),""),IF(ROW()-1&lt;=$L$2+$M$2+$N$2+$O$2,IFERROR(INDEX(PROFORMA!$A:$K,ROW()-1-$L$2-$M$2-$N$2+1,2),""),"")))))</f>
        <v>Filing rules</v>
      </c>
      <c r="C103" s="3" t="str">
        <f>IF(ROW()-1&lt;=0,"",IF(ROW()-1&lt;=$L$2,IFERROR(INDEX(MCQ!$A:$K,ROW()-1+1,3),""),IF(ROW()-1&lt;=$L$2+$M$2,IFERROR(INDEX(CLOZE_AB!$A:$K,ROW()-1-$L$2+1,3),""),IF(ROW()-1&lt;=$L$2+$M$2+$N$2,IFERROR(INDEX(CLOZE_LIST!$A:$K,ROW()-1-$L$2-$M$2+1,3),""),IF(ROW()-1&lt;=$L$2+$M$2+$N$2+$O$2,IFERROR(INDEX(PROFORMA!$A:$K,ROW()-1-$L$2-$M$2-$N$2+1,3),""),"")))))</f>
        <v>filing_requirements</v>
      </c>
      <c r="D103" s="3" t="str">
        <f>IF(ROW()-1&lt;=0,"",IF(ROW()-1&lt;=$L$2,IFERROR(INDEX(MCQ!$A:$K,ROW()-1+1,4),""),IF(ROW()-1&lt;=$L$2+$M$2,IFERROR(INDEX(CLOZE_AB!$A:$K,ROW()-1-$L$2+1,4),""),IF(ROW()-1&lt;=$L$2+$M$2+$N$2,IFERROR(INDEX(CLOZE_LIST!$A:$K,ROW()-1-$L$2-$M$2+1,4),""),IF(ROW()-1&lt;=$L$2+$M$2+$N$2+$O$2,IFERROR(INDEX(PROFORMA!$A:$K,ROW()-1-$L$2-$M$2-$N$2+1,4),""),"")))))</f>
        <v>Filing, payment and claims deadlines</v>
      </c>
      <c r="E103" s="3" t="str">
        <f>IF(ROW()-1&lt;=0,"",IF(ROW()-1&lt;=$L$2,IFERROR(INDEX(MCQ!$A:$K,ROW()-1+1,5),""),IF(ROW()-1&lt;=$L$2+$M$2,IFERROR(INDEX(CLOZE_AB!$A:$K,ROW()-1-$L$2+1,5),""),IF(ROW()-1&lt;=$L$2+$M$2+$N$2,IFERROR(INDEX(CLOZE_LIST!$A:$K,ROW()-1-$L$2-$M$2+1,5),""),IF(ROW()-1&lt;=$L$2+$M$2+$N$2+$O$2,IFERROR(INDEX(PROFORMA!$A:$K,ROW()-1-$L$2-$M$2-$N$2+1,5),""),"")))))</f>
        <v>mcq_radio</v>
      </c>
      <c r="F103" s="3">
        <f>IF(ROW()-1&lt;=0,"",IF(ROW()-1&lt;=$L$2,IFERROR(INDEX(MCQ!$A:$K,ROW()-1+1,6),""),IF(ROW()-1&lt;=$L$2+$M$2,IFERROR(INDEX(CLOZE_AB!$A:$K,ROW()-1-$L$2+1,6),""),IF(ROW()-1&lt;=$L$2+$M$2+$N$2,IFERROR(INDEX(CLOZE_LIST!$A:$K,ROW()-1-$L$2-$M$2+1,6),""),IF(ROW()-1&lt;=$L$2+$M$2+$N$2+$O$2,IFERROR(INDEX(PROFORMA!$A:$K,ROW()-1-$L$2-$M$2-$N$2+1,6),""),"")))))</f>
        <v>3</v>
      </c>
      <c r="G103" s="3" t="str">
        <f>IF(ROW()-1&lt;=0,"",IF(ROW()-1&lt;=$L$2,IFERROR(INDEX(MCQ!$A:$K,ROW()-1+1,7),""),IF(ROW()-1&lt;=$L$2+$M$2,IFERROR(INDEX(CLOZE_AB!$A:$K,ROW()-1-$L$2+1,7),""),IF(ROW()-1&lt;=$L$2+$M$2+$N$2,IFERROR(INDEX(CLOZE_LIST!$A:$K,ROW()-1-$L$2-$M$2+1,7),""),IF(ROW()-1&lt;=$L$2+$M$2+$N$2+$O$2,IFERROR(INDEX(PROFORMA!$A:$K,ROW()-1-$L$2-$M$2-$N$2+1,7),""),"")))))</f>
        <v>core</v>
      </c>
      <c r="H103" s="3" t="str">
        <f>IF(ROW()-1&lt;=0,"",IF(ROW()-1&lt;=$L$2,IFERROR(INDEX(MCQ!$A:$K,ROW()-1+1,8),""),IF(ROW()-1&lt;=$L$2+$M$2,IFERROR(INDEX(CLOZE_AB!$A:$K,ROW()-1-$L$2+1,8),""),IF(ROW()-1&lt;=$L$2+$M$2+$N$2,IFERROR(INDEX(CLOZE_LIST!$A:$K,ROW()-1-$L$2-$M$2+1,8),""),IF(ROW()-1&lt;=$L$2+$M$2+$N$2+$O$2,IFERROR(INDEX(PROFORMA!$A:$K,ROW()-1-$L$2-$M$2-$N$2+1,8),""),"")))))</f>
        <v>Y</v>
      </c>
      <c r="I103" s="3" t="str">
        <f>IF(ROW()-1&lt;=0,"",IF(ROW()-1&lt;=$L$2,IFERROR(INDEX(MCQ!$A:$K,ROW()-1+1,9),""),IF(ROW()-1&lt;=$L$2+$M$2,IFERROR(INDEX(CLOZE_AB!$A:$K,ROW()-1-$L$2+1,9),""),IF(ROW()-1&lt;=$L$2+$M$2+$N$2,IFERROR(INDEX(CLOZE_LIST!$A:$K,ROW()-1-$L$2-$M$2+1,9),""),IF(ROW()-1&lt;=$L$2+$M$2+$N$2+$O$2,IFERROR(INDEX(PROFORMA!$A:$K,ROW()-1-$L$2-$M$2-$N$2+1,9),""),"")))))</f>
        <v>deadlines;claims</v>
      </c>
      <c r="J103" s="3" t="str">
        <f>IF(ROW()-1&lt;=0,"",IF(ROW()-1&lt;=$L$2,IFERROR(INDEX(MCQ!$A:$K,ROW()-1+1,10),""),IF(ROW()-1&lt;=$L$2+$M$2,IFERROR(INDEX(CLOZE_AB!$A:$K,ROW()-1-$L$2+1,10),""),IF(ROW()-1&lt;=$L$2+$M$2+$N$2,IFERROR(INDEX(CLOZE_LIST!$A:$K,ROW()-1-$L$2-$M$2+1,10),""),IF(ROW()-1&lt;=$L$2+$M$2+$N$2+$O$2,IFERROR(INDEX(PROFORMA!$A:$K,ROW()-1-$L$2-$M$2-$N$2+1,10),""),"")))))</f>
        <v>user_supplied</v>
      </c>
      <c r="K103" s="3">
        <f>IF(ROW()-1&lt;=0,"",IF(ROW()-1&lt;=$L$2,IFERROR(INDEX(MCQ!$A:$K,ROW()-1+1,11),""),IF(ROW()-1&lt;=$L$2+$M$2,IFERROR(INDEX(CLOZE_AB!$A:$K,ROW()-1-$L$2+1,11),""),IF(ROW()-1&lt;=$L$2+$M$2+$N$2,IFERROR(INDEX(CLOZE_LIST!$A:$K,ROW()-1-$L$2-$M$2+1,11),""),IF(ROW()-1&lt;=$L$2+$M$2+$N$2+$O$2,IFERROR(INDEX(PROFORMA!$A:$K,ROW()-1-$L$2-$M$2-$N$2+1,11),""),"")))))</f>
        <v>1</v>
      </c>
      <c r="L103" s="3">
        <f>COUNTA(MCQ!$A:$A)-1</f>
        <v>122</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MCQ_FR_FILE_TAXDEAD_037</v>
      </c>
      <c r="B104" s="3" t="str">
        <f>IF(ROW()-1&lt;=0,"",IF(ROW()-1&lt;=$L$2,IFERROR(INDEX(MCQ!$A:$K,ROW()-1+1,2),""),IF(ROW()-1&lt;=$L$2+$M$2,IFERROR(INDEX(CLOZE_AB!$A:$K,ROW()-1-$L$2+1,2),""),IF(ROW()-1&lt;=$L$2+$M$2+$N$2,IFERROR(INDEX(CLOZE_LIST!$A:$K,ROW()-1-$L$2-$M$2+1,2),""),IF(ROW()-1&lt;=$L$2+$M$2+$N$2+$O$2,IFERROR(INDEX(PROFORMA!$A:$K,ROW()-1-$L$2-$M$2-$N$2+1,2),""),"")))))</f>
        <v>Filing rules</v>
      </c>
      <c r="C104" s="3" t="str">
        <f>IF(ROW()-1&lt;=0,"",IF(ROW()-1&lt;=$L$2,IFERROR(INDEX(MCQ!$A:$K,ROW()-1+1,3),""),IF(ROW()-1&lt;=$L$2+$M$2,IFERROR(INDEX(CLOZE_AB!$A:$K,ROW()-1-$L$2+1,3),""),IF(ROW()-1&lt;=$L$2+$M$2+$N$2,IFERROR(INDEX(CLOZE_LIST!$A:$K,ROW()-1-$L$2-$M$2+1,3),""),IF(ROW()-1&lt;=$L$2+$M$2+$N$2+$O$2,IFERROR(INDEX(PROFORMA!$A:$K,ROW()-1-$L$2-$M$2-$N$2+1,3),""),"")))))</f>
        <v>filing_requirements</v>
      </c>
      <c r="D104" s="3" t="str">
        <f>IF(ROW()-1&lt;=0,"",IF(ROW()-1&lt;=$L$2,IFERROR(INDEX(MCQ!$A:$K,ROW()-1+1,4),""),IF(ROW()-1&lt;=$L$2+$M$2,IFERROR(INDEX(CLOZE_AB!$A:$K,ROW()-1-$L$2+1,4),""),IF(ROW()-1&lt;=$L$2+$M$2+$N$2,IFERROR(INDEX(CLOZE_LIST!$A:$K,ROW()-1-$L$2-$M$2+1,4),""),IF(ROW()-1&lt;=$L$2+$M$2+$N$2+$O$2,IFERROR(INDEX(PROFORMA!$A:$K,ROW()-1-$L$2-$M$2-$N$2+1,4),""),"")))))</f>
        <v>Filing, payment and claims deadlines</v>
      </c>
      <c r="E104" s="3" t="str">
        <f>IF(ROW()-1&lt;=0,"",IF(ROW()-1&lt;=$L$2,IFERROR(INDEX(MCQ!$A:$K,ROW()-1+1,5),""),IF(ROW()-1&lt;=$L$2+$M$2,IFERROR(INDEX(CLOZE_AB!$A:$K,ROW()-1-$L$2+1,5),""),IF(ROW()-1&lt;=$L$2+$M$2+$N$2,IFERROR(INDEX(CLOZE_LIST!$A:$K,ROW()-1-$L$2-$M$2+1,5),""),IF(ROW()-1&lt;=$L$2+$M$2+$N$2+$O$2,IFERROR(INDEX(PROFORMA!$A:$K,ROW()-1-$L$2-$M$2-$N$2+1,5),""),"")))))</f>
        <v>mcq_radio</v>
      </c>
      <c r="F104" s="3">
        <f>IF(ROW()-1&lt;=0,"",IF(ROW()-1&lt;=$L$2,IFERROR(INDEX(MCQ!$A:$K,ROW()-1+1,6),""),IF(ROW()-1&lt;=$L$2+$M$2,IFERROR(INDEX(CLOZE_AB!$A:$K,ROW()-1-$L$2+1,6),""),IF(ROW()-1&lt;=$L$2+$M$2+$N$2,IFERROR(INDEX(CLOZE_LIST!$A:$K,ROW()-1-$L$2-$M$2+1,6),""),IF(ROW()-1&lt;=$L$2+$M$2+$N$2+$O$2,IFERROR(INDEX(PROFORMA!$A:$K,ROW()-1-$L$2-$M$2-$N$2+1,6),""),"")))))</f>
        <v>3</v>
      </c>
      <c r="G104" s="3" t="str">
        <f>IF(ROW()-1&lt;=0,"",IF(ROW()-1&lt;=$L$2,IFERROR(INDEX(MCQ!$A:$K,ROW()-1+1,7),""),IF(ROW()-1&lt;=$L$2+$M$2,IFERROR(INDEX(CLOZE_AB!$A:$K,ROW()-1-$L$2+1,7),""),IF(ROW()-1&lt;=$L$2+$M$2+$N$2,IFERROR(INDEX(CLOZE_LIST!$A:$K,ROW()-1-$L$2-$M$2+1,7),""),IF(ROW()-1&lt;=$L$2+$M$2+$N$2+$O$2,IFERROR(INDEX(PROFORMA!$A:$K,ROW()-1-$L$2-$M$2-$N$2+1,7),""),"")))))</f>
        <v>core</v>
      </c>
      <c r="H104" s="3" t="str">
        <f>IF(ROW()-1&lt;=0,"",IF(ROW()-1&lt;=$L$2,IFERROR(INDEX(MCQ!$A:$K,ROW()-1+1,8),""),IF(ROW()-1&lt;=$L$2+$M$2,IFERROR(INDEX(CLOZE_AB!$A:$K,ROW()-1-$L$2+1,8),""),IF(ROW()-1&lt;=$L$2+$M$2+$N$2,IFERROR(INDEX(CLOZE_LIST!$A:$K,ROW()-1-$L$2-$M$2+1,8),""),IF(ROW()-1&lt;=$L$2+$M$2+$N$2+$O$2,IFERROR(INDEX(PROFORMA!$A:$K,ROW()-1-$L$2-$M$2-$N$2+1,8),""),"")))))</f>
        <v>Y</v>
      </c>
      <c r="I104" s="3" t="str">
        <f>IF(ROW()-1&lt;=0,"",IF(ROW()-1&lt;=$L$2,IFERROR(INDEX(MCQ!$A:$K,ROW()-1+1,9),""),IF(ROW()-1&lt;=$L$2+$M$2,IFERROR(INDEX(CLOZE_AB!$A:$K,ROW()-1-$L$2+1,9),""),IF(ROW()-1&lt;=$L$2+$M$2+$N$2,IFERROR(INDEX(CLOZE_LIST!$A:$K,ROW()-1-$L$2-$M$2+1,9),""),IF(ROW()-1&lt;=$L$2+$M$2+$N$2+$O$2,IFERROR(INDEX(PROFORMA!$A:$K,ROW()-1-$L$2-$M$2-$N$2+1,9),""),"")))))</f>
        <v>deadlines;claims</v>
      </c>
      <c r="J104" s="3" t="str">
        <f>IF(ROW()-1&lt;=0,"",IF(ROW()-1&lt;=$L$2,IFERROR(INDEX(MCQ!$A:$K,ROW()-1+1,10),""),IF(ROW()-1&lt;=$L$2+$M$2,IFERROR(INDEX(CLOZE_AB!$A:$K,ROW()-1-$L$2+1,10),""),IF(ROW()-1&lt;=$L$2+$M$2+$N$2,IFERROR(INDEX(CLOZE_LIST!$A:$K,ROW()-1-$L$2-$M$2+1,10),""),IF(ROW()-1&lt;=$L$2+$M$2+$N$2+$O$2,IFERROR(INDEX(PROFORMA!$A:$K,ROW()-1-$L$2-$M$2-$N$2+1,10),""),"")))))</f>
        <v>user_supplied</v>
      </c>
      <c r="K104" s="3">
        <f>IF(ROW()-1&lt;=0,"",IF(ROW()-1&lt;=$L$2,IFERROR(INDEX(MCQ!$A:$K,ROW()-1+1,11),""),IF(ROW()-1&lt;=$L$2+$M$2,IFERROR(INDEX(CLOZE_AB!$A:$K,ROW()-1-$L$2+1,11),""),IF(ROW()-1&lt;=$L$2+$M$2+$N$2,IFERROR(INDEX(CLOZE_LIST!$A:$K,ROW()-1-$L$2-$M$2+1,11),""),IF(ROW()-1&lt;=$L$2+$M$2+$N$2+$O$2,IFERROR(INDEX(PROFORMA!$A:$K,ROW()-1-$L$2-$M$2-$N$2+1,11),""),"")))))</f>
        <v>1</v>
      </c>
      <c r="L104" s="3">
        <f>COUNTA(MCQ!$A:$A)-1</f>
        <v>122</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MCQ_FR_FILE_TAXDEAD_038</v>
      </c>
      <c r="B105" s="3" t="str">
        <f>IF(ROW()-1&lt;=0,"",IF(ROW()-1&lt;=$L$2,IFERROR(INDEX(MCQ!$A:$K,ROW()-1+1,2),""),IF(ROW()-1&lt;=$L$2+$M$2,IFERROR(INDEX(CLOZE_AB!$A:$K,ROW()-1-$L$2+1,2),""),IF(ROW()-1&lt;=$L$2+$M$2+$N$2,IFERROR(INDEX(CLOZE_LIST!$A:$K,ROW()-1-$L$2-$M$2+1,2),""),IF(ROW()-1&lt;=$L$2+$M$2+$N$2+$O$2,IFERROR(INDEX(PROFORMA!$A:$K,ROW()-1-$L$2-$M$2-$N$2+1,2),""),"")))))</f>
        <v>Filing rules</v>
      </c>
      <c r="C105" s="3" t="str">
        <f>IF(ROW()-1&lt;=0,"",IF(ROW()-1&lt;=$L$2,IFERROR(INDEX(MCQ!$A:$K,ROW()-1+1,3),""),IF(ROW()-1&lt;=$L$2+$M$2,IFERROR(INDEX(CLOZE_AB!$A:$K,ROW()-1-$L$2+1,3),""),IF(ROW()-1&lt;=$L$2+$M$2+$N$2,IFERROR(INDEX(CLOZE_LIST!$A:$K,ROW()-1-$L$2-$M$2+1,3),""),IF(ROW()-1&lt;=$L$2+$M$2+$N$2+$O$2,IFERROR(INDEX(PROFORMA!$A:$K,ROW()-1-$L$2-$M$2-$N$2+1,3),""),"")))))</f>
        <v>filing_requirements</v>
      </c>
      <c r="D105" s="3" t="str">
        <f>IF(ROW()-1&lt;=0,"",IF(ROW()-1&lt;=$L$2,IFERROR(INDEX(MCQ!$A:$K,ROW()-1+1,4),""),IF(ROW()-1&lt;=$L$2+$M$2,IFERROR(INDEX(CLOZE_AB!$A:$K,ROW()-1-$L$2+1,4),""),IF(ROW()-1&lt;=$L$2+$M$2+$N$2,IFERROR(INDEX(CLOZE_LIST!$A:$K,ROW()-1-$L$2-$M$2+1,4),""),IF(ROW()-1&lt;=$L$2+$M$2+$N$2+$O$2,IFERROR(INDEX(PROFORMA!$A:$K,ROW()-1-$L$2-$M$2-$N$2+1,4),""),"")))))</f>
        <v>Filing, payment and claims deadlines</v>
      </c>
      <c r="E105" s="3" t="str">
        <f>IF(ROW()-1&lt;=0,"",IF(ROW()-1&lt;=$L$2,IFERROR(INDEX(MCQ!$A:$K,ROW()-1+1,5),""),IF(ROW()-1&lt;=$L$2+$M$2,IFERROR(INDEX(CLOZE_AB!$A:$K,ROW()-1-$L$2+1,5),""),IF(ROW()-1&lt;=$L$2+$M$2+$N$2,IFERROR(INDEX(CLOZE_LIST!$A:$K,ROW()-1-$L$2-$M$2+1,5),""),IF(ROW()-1&lt;=$L$2+$M$2+$N$2+$O$2,IFERROR(INDEX(PROFORMA!$A:$K,ROW()-1-$L$2-$M$2-$N$2+1,5),""),"")))))</f>
        <v>mcq_radio</v>
      </c>
      <c r="F105" s="3">
        <f>IF(ROW()-1&lt;=0,"",IF(ROW()-1&lt;=$L$2,IFERROR(INDEX(MCQ!$A:$K,ROW()-1+1,6),""),IF(ROW()-1&lt;=$L$2+$M$2,IFERROR(INDEX(CLOZE_AB!$A:$K,ROW()-1-$L$2+1,6),""),IF(ROW()-1&lt;=$L$2+$M$2+$N$2,IFERROR(INDEX(CLOZE_LIST!$A:$K,ROW()-1-$L$2-$M$2+1,6),""),IF(ROW()-1&lt;=$L$2+$M$2+$N$2+$O$2,IFERROR(INDEX(PROFORMA!$A:$K,ROW()-1-$L$2-$M$2-$N$2+1,6),""),"")))))</f>
        <v>3</v>
      </c>
      <c r="G105" s="3" t="str">
        <f>IF(ROW()-1&lt;=0,"",IF(ROW()-1&lt;=$L$2,IFERROR(INDEX(MCQ!$A:$K,ROW()-1+1,7),""),IF(ROW()-1&lt;=$L$2+$M$2,IFERROR(INDEX(CLOZE_AB!$A:$K,ROW()-1-$L$2+1,7),""),IF(ROW()-1&lt;=$L$2+$M$2+$N$2,IFERROR(INDEX(CLOZE_LIST!$A:$K,ROW()-1-$L$2-$M$2+1,7),""),IF(ROW()-1&lt;=$L$2+$M$2+$N$2+$O$2,IFERROR(INDEX(PROFORMA!$A:$K,ROW()-1-$L$2-$M$2-$N$2+1,7),""),"")))))</f>
        <v>core</v>
      </c>
      <c r="H105" s="3" t="str">
        <f>IF(ROW()-1&lt;=0,"",IF(ROW()-1&lt;=$L$2,IFERROR(INDEX(MCQ!$A:$K,ROW()-1+1,8),""),IF(ROW()-1&lt;=$L$2+$M$2,IFERROR(INDEX(CLOZE_AB!$A:$K,ROW()-1-$L$2+1,8),""),IF(ROW()-1&lt;=$L$2+$M$2+$N$2,IFERROR(INDEX(CLOZE_LIST!$A:$K,ROW()-1-$L$2-$M$2+1,8),""),IF(ROW()-1&lt;=$L$2+$M$2+$N$2+$O$2,IFERROR(INDEX(PROFORMA!$A:$K,ROW()-1-$L$2-$M$2-$N$2+1,8),""),"")))))</f>
        <v>Y</v>
      </c>
      <c r="I105" s="3" t="str">
        <f>IF(ROW()-1&lt;=0,"",IF(ROW()-1&lt;=$L$2,IFERROR(INDEX(MCQ!$A:$K,ROW()-1+1,9),""),IF(ROW()-1&lt;=$L$2+$M$2,IFERROR(INDEX(CLOZE_AB!$A:$K,ROW()-1-$L$2+1,9),""),IF(ROW()-1&lt;=$L$2+$M$2+$N$2,IFERROR(INDEX(CLOZE_LIST!$A:$K,ROW()-1-$L$2-$M$2+1,9),""),IF(ROW()-1&lt;=$L$2+$M$2+$N$2+$O$2,IFERROR(INDEX(PROFORMA!$A:$K,ROW()-1-$L$2-$M$2-$N$2+1,9),""),"")))))</f>
        <v>deadlines;claims</v>
      </c>
      <c r="J105" s="3" t="str">
        <f>IF(ROW()-1&lt;=0,"",IF(ROW()-1&lt;=$L$2,IFERROR(INDEX(MCQ!$A:$K,ROW()-1+1,10),""),IF(ROW()-1&lt;=$L$2+$M$2,IFERROR(INDEX(CLOZE_AB!$A:$K,ROW()-1-$L$2+1,10),""),IF(ROW()-1&lt;=$L$2+$M$2+$N$2,IFERROR(INDEX(CLOZE_LIST!$A:$K,ROW()-1-$L$2-$M$2+1,10),""),IF(ROW()-1&lt;=$L$2+$M$2+$N$2+$O$2,IFERROR(INDEX(PROFORMA!$A:$K,ROW()-1-$L$2-$M$2-$N$2+1,10),""),"")))))</f>
        <v>user_supplied</v>
      </c>
      <c r="K105" s="3">
        <f>IF(ROW()-1&lt;=0,"",IF(ROW()-1&lt;=$L$2,IFERROR(INDEX(MCQ!$A:$K,ROW()-1+1,11),""),IF(ROW()-1&lt;=$L$2+$M$2,IFERROR(INDEX(CLOZE_AB!$A:$K,ROW()-1-$L$2+1,11),""),IF(ROW()-1&lt;=$L$2+$M$2+$N$2,IFERROR(INDEX(CLOZE_LIST!$A:$K,ROW()-1-$L$2-$M$2+1,11),""),IF(ROW()-1&lt;=$L$2+$M$2+$N$2+$O$2,IFERROR(INDEX(PROFORMA!$A:$K,ROW()-1-$L$2-$M$2-$N$2+1,11),""),"")))))</f>
        <v>1</v>
      </c>
      <c r="L105" s="3">
        <f>COUNTA(MCQ!$A:$A)-1</f>
        <v>122</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MCQ_FR_FILE_TAXDEAD_039</v>
      </c>
      <c r="B106" s="3" t="str">
        <f>IF(ROW()-1&lt;=0,"",IF(ROW()-1&lt;=$L$2,IFERROR(INDEX(MCQ!$A:$K,ROW()-1+1,2),""),IF(ROW()-1&lt;=$L$2+$M$2,IFERROR(INDEX(CLOZE_AB!$A:$K,ROW()-1-$L$2+1,2),""),IF(ROW()-1&lt;=$L$2+$M$2+$N$2,IFERROR(INDEX(CLOZE_LIST!$A:$K,ROW()-1-$L$2-$M$2+1,2),""),IF(ROW()-1&lt;=$L$2+$M$2+$N$2+$O$2,IFERROR(INDEX(PROFORMA!$A:$K,ROW()-1-$L$2-$M$2-$N$2+1,2),""),"")))))</f>
        <v>Filing rules</v>
      </c>
      <c r="C106" s="3" t="str">
        <f>IF(ROW()-1&lt;=0,"",IF(ROW()-1&lt;=$L$2,IFERROR(INDEX(MCQ!$A:$K,ROW()-1+1,3),""),IF(ROW()-1&lt;=$L$2+$M$2,IFERROR(INDEX(CLOZE_AB!$A:$K,ROW()-1-$L$2+1,3),""),IF(ROW()-1&lt;=$L$2+$M$2+$N$2,IFERROR(INDEX(CLOZE_LIST!$A:$K,ROW()-1-$L$2-$M$2+1,3),""),IF(ROW()-1&lt;=$L$2+$M$2+$N$2+$O$2,IFERROR(INDEX(PROFORMA!$A:$K,ROW()-1-$L$2-$M$2-$N$2+1,3),""),"")))))</f>
        <v>filing_requirements</v>
      </c>
      <c r="D106" s="3" t="str">
        <f>IF(ROW()-1&lt;=0,"",IF(ROW()-1&lt;=$L$2,IFERROR(INDEX(MCQ!$A:$K,ROW()-1+1,4),""),IF(ROW()-1&lt;=$L$2+$M$2,IFERROR(INDEX(CLOZE_AB!$A:$K,ROW()-1-$L$2+1,4),""),IF(ROW()-1&lt;=$L$2+$M$2+$N$2,IFERROR(INDEX(CLOZE_LIST!$A:$K,ROW()-1-$L$2-$M$2+1,4),""),IF(ROW()-1&lt;=$L$2+$M$2+$N$2+$O$2,IFERROR(INDEX(PROFORMA!$A:$K,ROW()-1-$L$2-$M$2-$N$2+1,4),""),"")))))</f>
        <v>Filing, payment and claims deadlines</v>
      </c>
      <c r="E106" s="3" t="str">
        <f>IF(ROW()-1&lt;=0,"",IF(ROW()-1&lt;=$L$2,IFERROR(INDEX(MCQ!$A:$K,ROW()-1+1,5),""),IF(ROW()-1&lt;=$L$2+$M$2,IFERROR(INDEX(CLOZE_AB!$A:$K,ROW()-1-$L$2+1,5),""),IF(ROW()-1&lt;=$L$2+$M$2+$N$2,IFERROR(INDEX(CLOZE_LIST!$A:$K,ROW()-1-$L$2-$M$2+1,5),""),IF(ROW()-1&lt;=$L$2+$M$2+$N$2+$O$2,IFERROR(INDEX(PROFORMA!$A:$K,ROW()-1-$L$2-$M$2-$N$2+1,5),""),"")))))</f>
        <v>mcq_radio</v>
      </c>
      <c r="F106" s="3">
        <f>IF(ROW()-1&lt;=0,"",IF(ROW()-1&lt;=$L$2,IFERROR(INDEX(MCQ!$A:$K,ROW()-1+1,6),""),IF(ROW()-1&lt;=$L$2+$M$2,IFERROR(INDEX(CLOZE_AB!$A:$K,ROW()-1-$L$2+1,6),""),IF(ROW()-1&lt;=$L$2+$M$2+$N$2,IFERROR(INDEX(CLOZE_LIST!$A:$K,ROW()-1-$L$2-$M$2+1,6),""),IF(ROW()-1&lt;=$L$2+$M$2+$N$2+$O$2,IFERROR(INDEX(PROFORMA!$A:$K,ROW()-1-$L$2-$M$2-$N$2+1,6),""),"")))))</f>
        <v>3</v>
      </c>
      <c r="G106" s="3" t="str">
        <f>IF(ROW()-1&lt;=0,"",IF(ROW()-1&lt;=$L$2,IFERROR(INDEX(MCQ!$A:$K,ROW()-1+1,7),""),IF(ROW()-1&lt;=$L$2+$M$2,IFERROR(INDEX(CLOZE_AB!$A:$K,ROW()-1-$L$2+1,7),""),IF(ROW()-1&lt;=$L$2+$M$2+$N$2,IFERROR(INDEX(CLOZE_LIST!$A:$K,ROW()-1-$L$2-$M$2+1,7),""),IF(ROW()-1&lt;=$L$2+$M$2+$N$2+$O$2,IFERROR(INDEX(PROFORMA!$A:$K,ROW()-1-$L$2-$M$2-$N$2+1,7),""),"")))))</f>
        <v>core</v>
      </c>
      <c r="H106" s="3" t="str">
        <f>IF(ROW()-1&lt;=0,"",IF(ROW()-1&lt;=$L$2,IFERROR(INDEX(MCQ!$A:$K,ROW()-1+1,8),""),IF(ROW()-1&lt;=$L$2+$M$2,IFERROR(INDEX(CLOZE_AB!$A:$K,ROW()-1-$L$2+1,8),""),IF(ROW()-1&lt;=$L$2+$M$2+$N$2,IFERROR(INDEX(CLOZE_LIST!$A:$K,ROW()-1-$L$2-$M$2+1,8),""),IF(ROW()-1&lt;=$L$2+$M$2+$N$2+$O$2,IFERROR(INDEX(PROFORMA!$A:$K,ROW()-1-$L$2-$M$2-$N$2+1,8),""),"")))))</f>
        <v>Y</v>
      </c>
      <c r="I106" s="3" t="str">
        <f>IF(ROW()-1&lt;=0,"",IF(ROW()-1&lt;=$L$2,IFERROR(INDEX(MCQ!$A:$K,ROW()-1+1,9),""),IF(ROW()-1&lt;=$L$2+$M$2,IFERROR(INDEX(CLOZE_AB!$A:$K,ROW()-1-$L$2+1,9),""),IF(ROW()-1&lt;=$L$2+$M$2+$N$2,IFERROR(INDEX(CLOZE_LIST!$A:$K,ROW()-1-$L$2-$M$2+1,9),""),IF(ROW()-1&lt;=$L$2+$M$2+$N$2+$O$2,IFERROR(INDEX(PROFORMA!$A:$K,ROW()-1-$L$2-$M$2-$N$2+1,9),""),"")))))</f>
        <v>deadlines;claims</v>
      </c>
      <c r="J106" s="3" t="str">
        <f>IF(ROW()-1&lt;=0,"",IF(ROW()-1&lt;=$L$2,IFERROR(INDEX(MCQ!$A:$K,ROW()-1+1,10),""),IF(ROW()-1&lt;=$L$2+$M$2,IFERROR(INDEX(CLOZE_AB!$A:$K,ROW()-1-$L$2+1,10),""),IF(ROW()-1&lt;=$L$2+$M$2+$N$2,IFERROR(INDEX(CLOZE_LIST!$A:$K,ROW()-1-$L$2-$M$2+1,10),""),IF(ROW()-1&lt;=$L$2+$M$2+$N$2+$O$2,IFERROR(INDEX(PROFORMA!$A:$K,ROW()-1-$L$2-$M$2-$N$2+1,10),""),"")))))</f>
        <v>user_supplied</v>
      </c>
      <c r="K106" s="3">
        <f>IF(ROW()-1&lt;=0,"",IF(ROW()-1&lt;=$L$2,IFERROR(INDEX(MCQ!$A:$K,ROW()-1+1,11),""),IF(ROW()-1&lt;=$L$2+$M$2,IFERROR(INDEX(CLOZE_AB!$A:$K,ROW()-1-$L$2+1,11),""),IF(ROW()-1&lt;=$L$2+$M$2+$N$2,IFERROR(INDEX(CLOZE_LIST!$A:$K,ROW()-1-$L$2-$M$2+1,11),""),IF(ROW()-1&lt;=$L$2+$M$2+$N$2+$O$2,IFERROR(INDEX(PROFORMA!$A:$K,ROW()-1-$L$2-$M$2-$N$2+1,11),""),"")))))</f>
        <v>1</v>
      </c>
      <c r="L106" s="3">
        <f>COUNTA(MCQ!$A:$A)-1</f>
        <v>122</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MCQ_FR_FILE_TAXDEAD_040</v>
      </c>
      <c r="B107" s="3" t="str">
        <f>IF(ROW()-1&lt;=0,"",IF(ROW()-1&lt;=$L$2,IFERROR(INDEX(MCQ!$A:$K,ROW()-1+1,2),""),IF(ROW()-1&lt;=$L$2+$M$2,IFERROR(INDEX(CLOZE_AB!$A:$K,ROW()-1-$L$2+1,2),""),IF(ROW()-1&lt;=$L$2+$M$2+$N$2,IFERROR(INDEX(CLOZE_LIST!$A:$K,ROW()-1-$L$2-$M$2+1,2),""),IF(ROW()-1&lt;=$L$2+$M$2+$N$2+$O$2,IFERROR(INDEX(PROFORMA!$A:$K,ROW()-1-$L$2-$M$2-$N$2+1,2),""),"")))))</f>
        <v>Filing rules</v>
      </c>
      <c r="C107" s="3" t="str">
        <f>IF(ROW()-1&lt;=0,"",IF(ROW()-1&lt;=$L$2,IFERROR(INDEX(MCQ!$A:$K,ROW()-1+1,3),""),IF(ROW()-1&lt;=$L$2+$M$2,IFERROR(INDEX(CLOZE_AB!$A:$K,ROW()-1-$L$2+1,3),""),IF(ROW()-1&lt;=$L$2+$M$2+$N$2,IFERROR(INDEX(CLOZE_LIST!$A:$K,ROW()-1-$L$2-$M$2+1,3),""),IF(ROW()-1&lt;=$L$2+$M$2+$N$2+$O$2,IFERROR(INDEX(PROFORMA!$A:$K,ROW()-1-$L$2-$M$2-$N$2+1,3),""),"")))))</f>
        <v>filing_requirements</v>
      </c>
      <c r="D107" s="3" t="str">
        <f>IF(ROW()-1&lt;=0,"",IF(ROW()-1&lt;=$L$2,IFERROR(INDEX(MCQ!$A:$K,ROW()-1+1,4),""),IF(ROW()-1&lt;=$L$2+$M$2,IFERROR(INDEX(CLOZE_AB!$A:$K,ROW()-1-$L$2+1,4),""),IF(ROW()-1&lt;=$L$2+$M$2+$N$2,IFERROR(INDEX(CLOZE_LIST!$A:$K,ROW()-1-$L$2-$M$2+1,4),""),IF(ROW()-1&lt;=$L$2+$M$2+$N$2+$O$2,IFERROR(INDEX(PROFORMA!$A:$K,ROW()-1-$L$2-$M$2-$N$2+1,4),""),"")))))</f>
        <v>Filing, payment and claims deadlines</v>
      </c>
      <c r="E107" s="3" t="str">
        <f>IF(ROW()-1&lt;=0,"",IF(ROW()-1&lt;=$L$2,IFERROR(INDEX(MCQ!$A:$K,ROW()-1+1,5),""),IF(ROW()-1&lt;=$L$2+$M$2,IFERROR(INDEX(CLOZE_AB!$A:$K,ROW()-1-$L$2+1,5),""),IF(ROW()-1&lt;=$L$2+$M$2+$N$2,IFERROR(INDEX(CLOZE_LIST!$A:$K,ROW()-1-$L$2-$M$2+1,5),""),IF(ROW()-1&lt;=$L$2+$M$2+$N$2+$O$2,IFERROR(INDEX(PROFORMA!$A:$K,ROW()-1-$L$2-$M$2-$N$2+1,5),""),"")))))</f>
        <v>mcq_radio</v>
      </c>
      <c r="F107" s="3">
        <f>IF(ROW()-1&lt;=0,"",IF(ROW()-1&lt;=$L$2,IFERROR(INDEX(MCQ!$A:$K,ROW()-1+1,6),""),IF(ROW()-1&lt;=$L$2+$M$2,IFERROR(INDEX(CLOZE_AB!$A:$K,ROW()-1-$L$2+1,6),""),IF(ROW()-1&lt;=$L$2+$M$2+$N$2,IFERROR(INDEX(CLOZE_LIST!$A:$K,ROW()-1-$L$2-$M$2+1,6),""),IF(ROW()-1&lt;=$L$2+$M$2+$N$2+$O$2,IFERROR(INDEX(PROFORMA!$A:$K,ROW()-1-$L$2-$M$2-$N$2+1,6),""),"")))))</f>
        <v>3</v>
      </c>
      <c r="G107" s="3" t="str">
        <f>IF(ROW()-1&lt;=0,"",IF(ROW()-1&lt;=$L$2,IFERROR(INDEX(MCQ!$A:$K,ROW()-1+1,7),""),IF(ROW()-1&lt;=$L$2+$M$2,IFERROR(INDEX(CLOZE_AB!$A:$K,ROW()-1-$L$2+1,7),""),IF(ROW()-1&lt;=$L$2+$M$2+$N$2,IFERROR(INDEX(CLOZE_LIST!$A:$K,ROW()-1-$L$2-$M$2+1,7),""),IF(ROW()-1&lt;=$L$2+$M$2+$N$2+$O$2,IFERROR(INDEX(PROFORMA!$A:$K,ROW()-1-$L$2-$M$2-$N$2+1,7),""),"")))))</f>
        <v>core</v>
      </c>
      <c r="H107" s="3" t="str">
        <f>IF(ROW()-1&lt;=0,"",IF(ROW()-1&lt;=$L$2,IFERROR(INDEX(MCQ!$A:$K,ROW()-1+1,8),""),IF(ROW()-1&lt;=$L$2+$M$2,IFERROR(INDEX(CLOZE_AB!$A:$K,ROW()-1-$L$2+1,8),""),IF(ROW()-1&lt;=$L$2+$M$2+$N$2,IFERROR(INDEX(CLOZE_LIST!$A:$K,ROW()-1-$L$2-$M$2+1,8),""),IF(ROW()-1&lt;=$L$2+$M$2+$N$2+$O$2,IFERROR(INDEX(PROFORMA!$A:$K,ROW()-1-$L$2-$M$2-$N$2+1,8),""),"")))))</f>
        <v>Y</v>
      </c>
      <c r="I107" s="3" t="str">
        <f>IF(ROW()-1&lt;=0,"",IF(ROW()-1&lt;=$L$2,IFERROR(INDEX(MCQ!$A:$K,ROW()-1+1,9),""),IF(ROW()-1&lt;=$L$2+$M$2,IFERROR(INDEX(CLOZE_AB!$A:$K,ROW()-1-$L$2+1,9),""),IF(ROW()-1&lt;=$L$2+$M$2+$N$2,IFERROR(INDEX(CLOZE_LIST!$A:$K,ROW()-1-$L$2-$M$2+1,9),""),IF(ROW()-1&lt;=$L$2+$M$2+$N$2+$O$2,IFERROR(INDEX(PROFORMA!$A:$K,ROW()-1-$L$2-$M$2-$N$2+1,9),""),"")))))</f>
        <v>deadlines;claims</v>
      </c>
      <c r="J107" s="3" t="str">
        <f>IF(ROW()-1&lt;=0,"",IF(ROW()-1&lt;=$L$2,IFERROR(INDEX(MCQ!$A:$K,ROW()-1+1,10),""),IF(ROW()-1&lt;=$L$2+$M$2,IFERROR(INDEX(CLOZE_AB!$A:$K,ROW()-1-$L$2+1,10),""),IF(ROW()-1&lt;=$L$2+$M$2+$N$2,IFERROR(INDEX(CLOZE_LIST!$A:$K,ROW()-1-$L$2-$M$2+1,10),""),IF(ROW()-1&lt;=$L$2+$M$2+$N$2+$O$2,IFERROR(INDEX(PROFORMA!$A:$K,ROW()-1-$L$2-$M$2-$N$2+1,10),""),"")))))</f>
        <v>user_supplied</v>
      </c>
      <c r="K107" s="3">
        <f>IF(ROW()-1&lt;=0,"",IF(ROW()-1&lt;=$L$2,IFERROR(INDEX(MCQ!$A:$K,ROW()-1+1,11),""),IF(ROW()-1&lt;=$L$2+$M$2,IFERROR(INDEX(CLOZE_AB!$A:$K,ROW()-1-$L$2+1,11),""),IF(ROW()-1&lt;=$L$2+$M$2+$N$2,IFERROR(INDEX(CLOZE_LIST!$A:$K,ROW()-1-$L$2-$M$2+1,11),""),IF(ROW()-1&lt;=$L$2+$M$2+$N$2+$O$2,IFERROR(INDEX(PROFORMA!$A:$K,ROW()-1-$L$2-$M$2-$N$2+1,11),""),"")))))</f>
        <v>1</v>
      </c>
      <c r="L107" s="3">
        <f>COUNTA(MCQ!$A:$A)-1</f>
        <v>122</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MCQ_FR_FILE_TAXDEAD_041</v>
      </c>
      <c r="B108" s="3" t="str">
        <f>IF(ROW()-1&lt;=0,"",IF(ROW()-1&lt;=$L$2,IFERROR(INDEX(MCQ!$A:$K,ROW()-1+1,2),""),IF(ROW()-1&lt;=$L$2+$M$2,IFERROR(INDEX(CLOZE_AB!$A:$K,ROW()-1-$L$2+1,2),""),IF(ROW()-1&lt;=$L$2+$M$2+$N$2,IFERROR(INDEX(CLOZE_LIST!$A:$K,ROW()-1-$L$2-$M$2+1,2),""),IF(ROW()-1&lt;=$L$2+$M$2+$N$2+$O$2,IFERROR(INDEX(PROFORMA!$A:$K,ROW()-1-$L$2-$M$2-$N$2+1,2),""),"")))))</f>
        <v>Filing rules</v>
      </c>
      <c r="C108" s="3" t="str">
        <f>IF(ROW()-1&lt;=0,"",IF(ROW()-1&lt;=$L$2,IFERROR(INDEX(MCQ!$A:$K,ROW()-1+1,3),""),IF(ROW()-1&lt;=$L$2+$M$2,IFERROR(INDEX(CLOZE_AB!$A:$K,ROW()-1-$L$2+1,3),""),IF(ROW()-1&lt;=$L$2+$M$2+$N$2,IFERROR(INDEX(CLOZE_LIST!$A:$K,ROW()-1-$L$2-$M$2+1,3),""),IF(ROW()-1&lt;=$L$2+$M$2+$N$2+$O$2,IFERROR(INDEX(PROFORMA!$A:$K,ROW()-1-$L$2-$M$2-$N$2+1,3),""),"")))))</f>
        <v>filing_requirements</v>
      </c>
      <c r="D108" s="3" t="str">
        <f>IF(ROW()-1&lt;=0,"",IF(ROW()-1&lt;=$L$2,IFERROR(INDEX(MCQ!$A:$K,ROW()-1+1,4),""),IF(ROW()-1&lt;=$L$2+$M$2,IFERROR(INDEX(CLOZE_AB!$A:$K,ROW()-1-$L$2+1,4),""),IF(ROW()-1&lt;=$L$2+$M$2+$N$2,IFERROR(INDEX(CLOZE_LIST!$A:$K,ROW()-1-$L$2-$M$2+1,4),""),IF(ROW()-1&lt;=$L$2+$M$2+$N$2+$O$2,IFERROR(INDEX(PROFORMA!$A:$K,ROW()-1-$L$2-$M$2-$N$2+1,4),""),"")))))</f>
        <v>Filing, payment and claims deadlines</v>
      </c>
      <c r="E108" s="3" t="str">
        <f>IF(ROW()-1&lt;=0,"",IF(ROW()-1&lt;=$L$2,IFERROR(INDEX(MCQ!$A:$K,ROW()-1+1,5),""),IF(ROW()-1&lt;=$L$2+$M$2,IFERROR(INDEX(CLOZE_AB!$A:$K,ROW()-1-$L$2+1,5),""),IF(ROW()-1&lt;=$L$2+$M$2+$N$2,IFERROR(INDEX(CLOZE_LIST!$A:$K,ROW()-1-$L$2-$M$2+1,5),""),IF(ROW()-1&lt;=$L$2+$M$2+$N$2+$O$2,IFERROR(INDEX(PROFORMA!$A:$K,ROW()-1-$L$2-$M$2-$N$2+1,5),""),"")))))</f>
        <v>mcq_radio</v>
      </c>
      <c r="F108" s="3">
        <f>IF(ROW()-1&lt;=0,"",IF(ROW()-1&lt;=$L$2,IFERROR(INDEX(MCQ!$A:$K,ROW()-1+1,6),""),IF(ROW()-1&lt;=$L$2+$M$2,IFERROR(INDEX(CLOZE_AB!$A:$K,ROW()-1-$L$2+1,6),""),IF(ROW()-1&lt;=$L$2+$M$2+$N$2,IFERROR(INDEX(CLOZE_LIST!$A:$K,ROW()-1-$L$2-$M$2+1,6),""),IF(ROW()-1&lt;=$L$2+$M$2+$N$2+$O$2,IFERROR(INDEX(PROFORMA!$A:$K,ROW()-1-$L$2-$M$2-$N$2+1,6),""),"")))))</f>
        <v>3</v>
      </c>
      <c r="G108" s="3" t="str">
        <f>IF(ROW()-1&lt;=0,"",IF(ROW()-1&lt;=$L$2,IFERROR(INDEX(MCQ!$A:$K,ROW()-1+1,7),""),IF(ROW()-1&lt;=$L$2+$M$2,IFERROR(INDEX(CLOZE_AB!$A:$K,ROW()-1-$L$2+1,7),""),IF(ROW()-1&lt;=$L$2+$M$2+$N$2,IFERROR(INDEX(CLOZE_LIST!$A:$K,ROW()-1-$L$2-$M$2+1,7),""),IF(ROW()-1&lt;=$L$2+$M$2+$N$2+$O$2,IFERROR(INDEX(PROFORMA!$A:$K,ROW()-1-$L$2-$M$2-$N$2+1,7),""),"")))))</f>
        <v>core</v>
      </c>
      <c r="H108" s="3" t="str">
        <f>IF(ROW()-1&lt;=0,"",IF(ROW()-1&lt;=$L$2,IFERROR(INDEX(MCQ!$A:$K,ROW()-1+1,8),""),IF(ROW()-1&lt;=$L$2+$M$2,IFERROR(INDEX(CLOZE_AB!$A:$K,ROW()-1-$L$2+1,8),""),IF(ROW()-1&lt;=$L$2+$M$2+$N$2,IFERROR(INDEX(CLOZE_LIST!$A:$K,ROW()-1-$L$2-$M$2+1,8),""),IF(ROW()-1&lt;=$L$2+$M$2+$N$2+$O$2,IFERROR(INDEX(PROFORMA!$A:$K,ROW()-1-$L$2-$M$2-$N$2+1,8),""),"")))))</f>
        <v>Y</v>
      </c>
      <c r="I108" s="3" t="str">
        <f>IF(ROW()-1&lt;=0,"",IF(ROW()-1&lt;=$L$2,IFERROR(INDEX(MCQ!$A:$K,ROW()-1+1,9),""),IF(ROW()-1&lt;=$L$2+$M$2,IFERROR(INDEX(CLOZE_AB!$A:$K,ROW()-1-$L$2+1,9),""),IF(ROW()-1&lt;=$L$2+$M$2+$N$2,IFERROR(INDEX(CLOZE_LIST!$A:$K,ROW()-1-$L$2-$M$2+1,9),""),IF(ROW()-1&lt;=$L$2+$M$2+$N$2+$O$2,IFERROR(INDEX(PROFORMA!$A:$K,ROW()-1-$L$2-$M$2-$N$2+1,9),""),"")))))</f>
        <v>deadlines;claims</v>
      </c>
      <c r="J108" s="3" t="str">
        <f>IF(ROW()-1&lt;=0,"",IF(ROW()-1&lt;=$L$2,IFERROR(INDEX(MCQ!$A:$K,ROW()-1+1,10),""),IF(ROW()-1&lt;=$L$2+$M$2,IFERROR(INDEX(CLOZE_AB!$A:$K,ROW()-1-$L$2+1,10),""),IF(ROW()-1&lt;=$L$2+$M$2+$N$2,IFERROR(INDEX(CLOZE_LIST!$A:$K,ROW()-1-$L$2-$M$2+1,10),""),IF(ROW()-1&lt;=$L$2+$M$2+$N$2+$O$2,IFERROR(INDEX(PROFORMA!$A:$K,ROW()-1-$L$2-$M$2-$N$2+1,10),""),"")))))</f>
        <v>user_supplied</v>
      </c>
      <c r="K108" s="3">
        <f>IF(ROW()-1&lt;=0,"",IF(ROW()-1&lt;=$L$2,IFERROR(INDEX(MCQ!$A:$K,ROW()-1+1,11),""),IF(ROW()-1&lt;=$L$2+$M$2,IFERROR(INDEX(CLOZE_AB!$A:$K,ROW()-1-$L$2+1,11),""),IF(ROW()-1&lt;=$L$2+$M$2+$N$2,IFERROR(INDEX(CLOZE_LIST!$A:$K,ROW()-1-$L$2-$M$2+1,11),""),IF(ROW()-1&lt;=$L$2+$M$2+$N$2+$O$2,IFERROR(INDEX(PROFORMA!$A:$K,ROW()-1-$L$2-$M$2-$N$2+1,11),""),"")))))</f>
        <v>1</v>
      </c>
      <c r="L108" s="3">
        <f>COUNTA(MCQ!$A:$A)-1</f>
        <v>122</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MCQ_FR_FILE_TAXDEAD_042</v>
      </c>
      <c r="B109" s="3" t="str">
        <f>IF(ROW()-1&lt;=0,"",IF(ROW()-1&lt;=$L$2,IFERROR(INDEX(MCQ!$A:$K,ROW()-1+1,2),""),IF(ROW()-1&lt;=$L$2+$M$2,IFERROR(INDEX(CLOZE_AB!$A:$K,ROW()-1-$L$2+1,2),""),IF(ROW()-1&lt;=$L$2+$M$2+$N$2,IFERROR(INDEX(CLOZE_LIST!$A:$K,ROW()-1-$L$2-$M$2+1,2),""),IF(ROW()-1&lt;=$L$2+$M$2+$N$2+$O$2,IFERROR(INDEX(PROFORMA!$A:$K,ROW()-1-$L$2-$M$2-$N$2+1,2),""),"")))))</f>
        <v>Filing rules</v>
      </c>
      <c r="C109" s="3" t="str">
        <f>IF(ROW()-1&lt;=0,"",IF(ROW()-1&lt;=$L$2,IFERROR(INDEX(MCQ!$A:$K,ROW()-1+1,3),""),IF(ROW()-1&lt;=$L$2+$M$2,IFERROR(INDEX(CLOZE_AB!$A:$K,ROW()-1-$L$2+1,3),""),IF(ROW()-1&lt;=$L$2+$M$2+$N$2,IFERROR(INDEX(CLOZE_LIST!$A:$K,ROW()-1-$L$2-$M$2+1,3),""),IF(ROW()-1&lt;=$L$2+$M$2+$N$2+$O$2,IFERROR(INDEX(PROFORMA!$A:$K,ROW()-1-$L$2-$M$2-$N$2+1,3),""),"")))))</f>
        <v>filing_requirements</v>
      </c>
      <c r="D109" s="3" t="str">
        <f>IF(ROW()-1&lt;=0,"",IF(ROW()-1&lt;=$L$2,IFERROR(INDEX(MCQ!$A:$K,ROW()-1+1,4),""),IF(ROW()-1&lt;=$L$2+$M$2,IFERROR(INDEX(CLOZE_AB!$A:$K,ROW()-1-$L$2+1,4),""),IF(ROW()-1&lt;=$L$2+$M$2+$N$2,IFERROR(INDEX(CLOZE_LIST!$A:$K,ROW()-1-$L$2-$M$2+1,4),""),IF(ROW()-1&lt;=$L$2+$M$2+$N$2+$O$2,IFERROR(INDEX(PROFORMA!$A:$K,ROW()-1-$L$2-$M$2-$N$2+1,4),""),"")))))</f>
        <v>Filing, payment and claims deadlines</v>
      </c>
      <c r="E109" s="3" t="str">
        <f>IF(ROW()-1&lt;=0,"",IF(ROW()-1&lt;=$L$2,IFERROR(INDEX(MCQ!$A:$K,ROW()-1+1,5),""),IF(ROW()-1&lt;=$L$2+$M$2,IFERROR(INDEX(CLOZE_AB!$A:$K,ROW()-1-$L$2+1,5),""),IF(ROW()-1&lt;=$L$2+$M$2+$N$2,IFERROR(INDEX(CLOZE_LIST!$A:$K,ROW()-1-$L$2-$M$2+1,5),""),IF(ROW()-1&lt;=$L$2+$M$2+$N$2+$O$2,IFERROR(INDEX(PROFORMA!$A:$K,ROW()-1-$L$2-$M$2-$N$2+1,5),""),"")))))</f>
        <v>mcq_radio</v>
      </c>
      <c r="F109" s="3">
        <f>IF(ROW()-1&lt;=0,"",IF(ROW()-1&lt;=$L$2,IFERROR(INDEX(MCQ!$A:$K,ROW()-1+1,6),""),IF(ROW()-1&lt;=$L$2+$M$2,IFERROR(INDEX(CLOZE_AB!$A:$K,ROW()-1-$L$2+1,6),""),IF(ROW()-1&lt;=$L$2+$M$2+$N$2,IFERROR(INDEX(CLOZE_LIST!$A:$K,ROW()-1-$L$2-$M$2+1,6),""),IF(ROW()-1&lt;=$L$2+$M$2+$N$2+$O$2,IFERROR(INDEX(PROFORMA!$A:$K,ROW()-1-$L$2-$M$2-$N$2+1,6),""),"")))))</f>
        <v>3</v>
      </c>
      <c r="G109" s="3" t="str">
        <f>IF(ROW()-1&lt;=0,"",IF(ROW()-1&lt;=$L$2,IFERROR(INDEX(MCQ!$A:$K,ROW()-1+1,7),""),IF(ROW()-1&lt;=$L$2+$M$2,IFERROR(INDEX(CLOZE_AB!$A:$K,ROW()-1-$L$2+1,7),""),IF(ROW()-1&lt;=$L$2+$M$2+$N$2,IFERROR(INDEX(CLOZE_LIST!$A:$K,ROW()-1-$L$2-$M$2+1,7),""),IF(ROW()-1&lt;=$L$2+$M$2+$N$2+$O$2,IFERROR(INDEX(PROFORMA!$A:$K,ROW()-1-$L$2-$M$2-$N$2+1,7),""),"")))))</f>
        <v>core</v>
      </c>
      <c r="H109" s="3" t="str">
        <f>IF(ROW()-1&lt;=0,"",IF(ROW()-1&lt;=$L$2,IFERROR(INDEX(MCQ!$A:$K,ROW()-1+1,8),""),IF(ROW()-1&lt;=$L$2+$M$2,IFERROR(INDEX(CLOZE_AB!$A:$K,ROW()-1-$L$2+1,8),""),IF(ROW()-1&lt;=$L$2+$M$2+$N$2,IFERROR(INDEX(CLOZE_LIST!$A:$K,ROW()-1-$L$2-$M$2+1,8),""),IF(ROW()-1&lt;=$L$2+$M$2+$N$2+$O$2,IFERROR(INDEX(PROFORMA!$A:$K,ROW()-1-$L$2-$M$2-$N$2+1,8),""),"")))))</f>
        <v>Y</v>
      </c>
      <c r="I109" s="3" t="str">
        <f>IF(ROW()-1&lt;=0,"",IF(ROW()-1&lt;=$L$2,IFERROR(INDEX(MCQ!$A:$K,ROW()-1+1,9),""),IF(ROW()-1&lt;=$L$2+$M$2,IFERROR(INDEX(CLOZE_AB!$A:$K,ROW()-1-$L$2+1,9),""),IF(ROW()-1&lt;=$L$2+$M$2+$N$2,IFERROR(INDEX(CLOZE_LIST!$A:$K,ROW()-1-$L$2-$M$2+1,9),""),IF(ROW()-1&lt;=$L$2+$M$2+$N$2+$O$2,IFERROR(INDEX(PROFORMA!$A:$K,ROW()-1-$L$2-$M$2-$N$2+1,9),""),"")))))</f>
        <v>deadlines;claims</v>
      </c>
      <c r="J109" s="3" t="str">
        <f>IF(ROW()-1&lt;=0,"",IF(ROW()-1&lt;=$L$2,IFERROR(INDEX(MCQ!$A:$K,ROW()-1+1,10),""),IF(ROW()-1&lt;=$L$2+$M$2,IFERROR(INDEX(CLOZE_AB!$A:$K,ROW()-1-$L$2+1,10),""),IF(ROW()-1&lt;=$L$2+$M$2+$N$2,IFERROR(INDEX(CLOZE_LIST!$A:$K,ROW()-1-$L$2-$M$2+1,10),""),IF(ROW()-1&lt;=$L$2+$M$2+$N$2+$O$2,IFERROR(INDEX(PROFORMA!$A:$K,ROW()-1-$L$2-$M$2-$N$2+1,10),""),"")))))</f>
        <v>user_supplied</v>
      </c>
      <c r="K109" s="3">
        <f>IF(ROW()-1&lt;=0,"",IF(ROW()-1&lt;=$L$2,IFERROR(INDEX(MCQ!$A:$K,ROW()-1+1,11),""),IF(ROW()-1&lt;=$L$2+$M$2,IFERROR(INDEX(CLOZE_AB!$A:$K,ROW()-1-$L$2+1,11),""),IF(ROW()-1&lt;=$L$2+$M$2+$N$2,IFERROR(INDEX(CLOZE_LIST!$A:$K,ROW()-1-$L$2-$M$2+1,11),""),IF(ROW()-1&lt;=$L$2+$M$2+$N$2+$O$2,IFERROR(INDEX(PROFORMA!$A:$K,ROW()-1-$L$2-$M$2-$N$2+1,11),""),"")))))</f>
        <v>1</v>
      </c>
      <c r="L109" s="3">
        <f>COUNTA(MCQ!$A:$A)-1</f>
        <v>122</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MCQ_FR_FILE_TAXDEAD_043</v>
      </c>
      <c r="B110" s="3" t="str">
        <f>IF(ROW()-1&lt;=0,"",IF(ROW()-1&lt;=$L$2,IFERROR(INDEX(MCQ!$A:$K,ROW()-1+1,2),""),IF(ROW()-1&lt;=$L$2+$M$2,IFERROR(INDEX(CLOZE_AB!$A:$K,ROW()-1-$L$2+1,2),""),IF(ROW()-1&lt;=$L$2+$M$2+$N$2,IFERROR(INDEX(CLOZE_LIST!$A:$K,ROW()-1-$L$2-$M$2+1,2),""),IF(ROW()-1&lt;=$L$2+$M$2+$N$2+$O$2,IFERROR(INDEX(PROFORMA!$A:$K,ROW()-1-$L$2-$M$2-$N$2+1,2),""),"")))))</f>
        <v>Filing rules</v>
      </c>
      <c r="C110" s="3" t="str">
        <f>IF(ROW()-1&lt;=0,"",IF(ROW()-1&lt;=$L$2,IFERROR(INDEX(MCQ!$A:$K,ROW()-1+1,3),""),IF(ROW()-1&lt;=$L$2+$M$2,IFERROR(INDEX(CLOZE_AB!$A:$K,ROW()-1-$L$2+1,3),""),IF(ROW()-1&lt;=$L$2+$M$2+$N$2,IFERROR(INDEX(CLOZE_LIST!$A:$K,ROW()-1-$L$2-$M$2+1,3),""),IF(ROW()-1&lt;=$L$2+$M$2+$N$2+$O$2,IFERROR(INDEX(PROFORMA!$A:$K,ROW()-1-$L$2-$M$2-$N$2+1,3),""),"")))))</f>
        <v>filing_requirements</v>
      </c>
      <c r="D110" s="3" t="str">
        <f>IF(ROW()-1&lt;=0,"",IF(ROW()-1&lt;=$L$2,IFERROR(INDEX(MCQ!$A:$K,ROW()-1+1,4),""),IF(ROW()-1&lt;=$L$2+$M$2,IFERROR(INDEX(CLOZE_AB!$A:$K,ROW()-1-$L$2+1,4),""),IF(ROW()-1&lt;=$L$2+$M$2+$N$2,IFERROR(INDEX(CLOZE_LIST!$A:$K,ROW()-1-$L$2-$M$2+1,4),""),IF(ROW()-1&lt;=$L$2+$M$2+$N$2+$O$2,IFERROR(INDEX(PROFORMA!$A:$K,ROW()-1-$L$2-$M$2-$N$2+1,4),""),"")))))</f>
        <v>Filing, payment and claims deadlines</v>
      </c>
      <c r="E110" s="3" t="str">
        <f>IF(ROW()-1&lt;=0,"",IF(ROW()-1&lt;=$L$2,IFERROR(INDEX(MCQ!$A:$K,ROW()-1+1,5),""),IF(ROW()-1&lt;=$L$2+$M$2,IFERROR(INDEX(CLOZE_AB!$A:$K,ROW()-1-$L$2+1,5),""),IF(ROW()-1&lt;=$L$2+$M$2+$N$2,IFERROR(INDEX(CLOZE_LIST!$A:$K,ROW()-1-$L$2-$M$2+1,5),""),IF(ROW()-1&lt;=$L$2+$M$2+$N$2+$O$2,IFERROR(INDEX(PROFORMA!$A:$K,ROW()-1-$L$2-$M$2-$N$2+1,5),""),"")))))</f>
        <v>mcq_radio</v>
      </c>
      <c r="F110" s="3">
        <f>IF(ROW()-1&lt;=0,"",IF(ROW()-1&lt;=$L$2,IFERROR(INDEX(MCQ!$A:$K,ROW()-1+1,6),""),IF(ROW()-1&lt;=$L$2+$M$2,IFERROR(INDEX(CLOZE_AB!$A:$K,ROW()-1-$L$2+1,6),""),IF(ROW()-1&lt;=$L$2+$M$2+$N$2,IFERROR(INDEX(CLOZE_LIST!$A:$K,ROW()-1-$L$2-$M$2+1,6),""),IF(ROW()-1&lt;=$L$2+$M$2+$N$2+$O$2,IFERROR(INDEX(PROFORMA!$A:$K,ROW()-1-$L$2-$M$2-$N$2+1,6),""),"")))))</f>
        <v>3</v>
      </c>
      <c r="G110" s="3" t="str">
        <f>IF(ROW()-1&lt;=0,"",IF(ROW()-1&lt;=$L$2,IFERROR(INDEX(MCQ!$A:$K,ROW()-1+1,7),""),IF(ROW()-1&lt;=$L$2+$M$2,IFERROR(INDEX(CLOZE_AB!$A:$K,ROW()-1-$L$2+1,7),""),IF(ROW()-1&lt;=$L$2+$M$2+$N$2,IFERROR(INDEX(CLOZE_LIST!$A:$K,ROW()-1-$L$2-$M$2+1,7),""),IF(ROW()-1&lt;=$L$2+$M$2+$N$2+$O$2,IFERROR(INDEX(PROFORMA!$A:$K,ROW()-1-$L$2-$M$2-$N$2+1,7),""),"")))))</f>
        <v>core</v>
      </c>
      <c r="H110" s="3" t="str">
        <f>IF(ROW()-1&lt;=0,"",IF(ROW()-1&lt;=$L$2,IFERROR(INDEX(MCQ!$A:$K,ROW()-1+1,8),""),IF(ROW()-1&lt;=$L$2+$M$2,IFERROR(INDEX(CLOZE_AB!$A:$K,ROW()-1-$L$2+1,8),""),IF(ROW()-1&lt;=$L$2+$M$2+$N$2,IFERROR(INDEX(CLOZE_LIST!$A:$K,ROW()-1-$L$2-$M$2+1,8),""),IF(ROW()-1&lt;=$L$2+$M$2+$N$2+$O$2,IFERROR(INDEX(PROFORMA!$A:$K,ROW()-1-$L$2-$M$2-$N$2+1,8),""),"")))))</f>
        <v>Y</v>
      </c>
      <c r="I110" s="3" t="str">
        <f>IF(ROW()-1&lt;=0,"",IF(ROW()-1&lt;=$L$2,IFERROR(INDEX(MCQ!$A:$K,ROW()-1+1,9),""),IF(ROW()-1&lt;=$L$2+$M$2,IFERROR(INDEX(CLOZE_AB!$A:$K,ROW()-1-$L$2+1,9),""),IF(ROW()-1&lt;=$L$2+$M$2+$N$2,IFERROR(INDEX(CLOZE_LIST!$A:$K,ROW()-1-$L$2-$M$2+1,9),""),IF(ROW()-1&lt;=$L$2+$M$2+$N$2+$O$2,IFERROR(INDEX(PROFORMA!$A:$K,ROW()-1-$L$2-$M$2-$N$2+1,9),""),"")))))</f>
        <v>deadlines;claims</v>
      </c>
      <c r="J110" s="3" t="str">
        <f>IF(ROW()-1&lt;=0,"",IF(ROW()-1&lt;=$L$2,IFERROR(INDEX(MCQ!$A:$K,ROW()-1+1,10),""),IF(ROW()-1&lt;=$L$2+$M$2,IFERROR(INDEX(CLOZE_AB!$A:$K,ROW()-1-$L$2+1,10),""),IF(ROW()-1&lt;=$L$2+$M$2+$N$2,IFERROR(INDEX(CLOZE_LIST!$A:$K,ROW()-1-$L$2-$M$2+1,10),""),IF(ROW()-1&lt;=$L$2+$M$2+$N$2+$O$2,IFERROR(INDEX(PROFORMA!$A:$K,ROW()-1-$L$2-$M$2-$N$2+1,10),""),"")))))</f>
        <v>user_supplied</v>
      </c>
      <c r="K110" s="3">
        <f>IF(ROW()-1&lt;=0,"",IF(ROW()-1&lt;=$L$2,IFERROR(INDEX(MCQ!$A:$K,ROW()-1+1,11),""),IF(ROW()-1&lt;=$L$2+$M$2,IFERROR(INDEX(CLOZE_AB!$A:$K,ROW()-1-$L$2+1,11),""),IF(ROW()-1&lt;=$L$2+$M$2+$N$2,IFERROR(INDEX(CLOZE_LIST!$A:$K,ROW()-1-$L$2-$M$2+1,11),""),IF(ROW()-1&lt;=$L$2+$M$2+$N$2+$O$2,IFERROR(INDEX(PROFORMA!$A:$K,ROW()-1-$L$2-$M$2-$N$2+1,11),""),"")))))</f>
        <v>1</v>
      </c>
      <c r="L110" s="3">
        <f>COUNTA(MCQ!$A:$A)-1</f>
        <v>122</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MCQ_FR_FILE_TAXDEAD_044</v>
      </c>
      <c r="B111" s="3" t="str">
        <f>IF(ROW()-1&lt;=0,"",IF(ROW()-1&lt;=$L$2,IFERROR(INDEX(MCQ!$A:$K,ROW()-1+1,2),""),IF(ROW()-1&lt;=$L$2+$M$2,IFERROR(INDEX(CLOZE_AB!$A:$K,ROW()-1-$L$2+1,2),""),IF(ROW()-1&lt;=$L$2+$M$2+$N$2,IFERROR(INDEX(CLOZE_LIST!$A:$K,ROW()-1-$L$2-$M$2+1,2),""),IF(ROW()-1&lt;=$L$2+$M$2+$N$2+$O$2,IFERROR(INDEX(PROFORMA!$A:$K,ROW()-1-$L$2-$M$2-$N$2+1,2),""),"")))))</f>
        <v>Filing rules</v>
      </c>
      <c r="C111" s="3" t="str">
        <f>IF(ROW()-1&lt;=0,"",IF(ROW()-1&lt;=$L$2,IFERROR(INDEX(MCQ!$A:$K,ROW()-1+1,3),""),IF(ROW()-1&lt;=$L$2+$M$2,IFERROR(INDEX(CLOZE_AB!$A:$K,ROW()-1-$L$2+1,3),""),IF(ROW()-1&lt;=$L$2+$M$2+$N$2,IFERROR(INDEX(CLOZE_LIST!$A:$K,ROW()-1-$L$2-$M$2+1,3),""),IF(ROW()-1&lt;=$L$2+$M$2+$N$2+$O$2,IFERROR(INDEX(PROFORMA!$A:$K,ROW()-1-$L$2-$M$2-$N$2+1,3),""),"")))))</f>
        <v>filing_requirements</v>
      </c>
      <c r="D111" s="3" t="str">
        <f>IF(ROW()-1&lt;=0,"",IF(ROW()-1&lt;=$L$2,IFERROR(INDEX(MCQ!$A:$K,ROW()-1+1,4),""),IF(ROW()-1&lt;=$L$2+$M$2,IFERROR(INDEX(CLOZE_AB!$A:$K,ROW()-1-$L$2+1,4),""),IF(ROW()-1&lt;=$L$2+$M$2+$N$2,IFERROR(INDEX(CLOZE_LIST!$A:$K,ROW()-1-$L$2-$M$2+1,4),""),IF(ROW()-1&lt;=$L$2+$M$2+$N$2+$O$2,IFERROR(INDEX(PROFORMA!$A:$K,ROW()-1-$L$2-$M$2-$N$2+1,4),""),"")))))</f>
        <v>Filing, payment and claims deadlines</v>
      </c>
      <c r="E111" s="3" t="str">
        <f>IF(ROW()-1&lt;=0,"",IF(ROW()-1&lt;=$L$2,IFERROR(INDEX(MCQ!$A:$K,ROW()-1+1,5),""),IF(ROW()-1&lt;=$L$2+$M$2,IFERROR(INDEX(CLOZE_AB!$A:$K,ROW()-1-$L$2+1,5),""),IF(ROW()-1&lt;=$L$2+$M$2+$N$2,IFERROR(INDEX(CLOZE_LIST!$A:$K,ROW()-1-$L$2-$M$2+1,5),""),IF(ROW()-1&lt;=$L$2+$M$2+$N$2+$O$2,IFERROR(INDEX(PROFORMA!$A:$K,ROW()-1-$L$2-$M$2-$N$2+1,5),""),"")))))</f>
        <v>mcq_radio</v>
      </c>
      <c r="F111" s="3">
        <f>IF(ROW()-1&lt;=0,"",IF(ROW()-1&lt;=$L$2,IFERROR(INDEX(MCQ!$A:$K,ROW()-1+1,6),""),IF(ROW()-1&lt;=$L$2+$M$2,IFERROR(INDEX(CLOZE_AB!$A:$K,ROW()-1-$L$2+1,6),""),IF(ROW()-1&lt;=$L$2+$M$2+$N$2,IFERROR(INDEX(CLOZE_LIST!$A:$K,ROW()-1-$L$2-$M$2+1,6),""),IF(ROW()-1&lt;=$L$2+$M$2+$N$2+$O$2,IFERROR(INDEX(PROFORMA!$A:$K,ROW()-1-$L$2-$M$2-$N$2+1,6),""),"")))))</f>
        <v>3</v>
      </c>
      <c r="G111" s="3" t="str">
        <f>IF(ROW()-1&lt;=0,"",IF(ROW()-1&lt;=$L$2,IFERROR(INDEX(MCQ!$A:$K,ROW()-1+1,7),""),IF(ROW()-1&lt;=$L$2+$M$2,IFERROR(INDEX(CLOZE_AB!$A:$K,ROW()-1-$L$2+1,7),""),IF(ROW()-1&lt;=$L$2+$M$2+$N$2,IFERROR(INDEX(CLOZE_LIST!$A:$K,ROW()-1-$L$2-$M$2+1,7),""),IF(ROW()-1&lt;=$L$2+$M$2+$N$2+$O$2,IFERROR(INDEX(PROFORMA!$A:$K,ROW()-1-$L$2-$M$2-$N$2+1,7),""),"")))))</f>
        <v>core</v>
      </c>
      <c r="H111" s="3" t="str">
        <f>IF(ROW()-1&lt;=0,"",IF(ROW()-1&lt;=$L$2,IFERROR(INDEX(MCQ!$A:$K,ROW()-1+1,8),""),IF(ROW()-1&lt;=$L$2+$M$2,IFERROR(INDEX(CLOZE_AB!$A:$K,ROW()-1-$L$2+1,8),""),IF(ROW()-1&lt;=$L$2+$M$2+$N$2,IFERROR(INDEX(CLOZE_LIST!$A:$K,ROW()-1-$L$2-$M$2+1,8),""),IF(ROW()-1&lt;=$L$2+$M$2+$N$2+$O$2,IFERROR(INDEX(PROFORMA!$A:$K,ROW()-1-$L$2-$M$2-$N$2+1,8),""),"")))))</f>
        <v>Y</v>
      </c>
      <c r="I111" s="3" t="str">
        <f>IF(ROW()-1&lt;=0,"",IF(ROW()-1&lt;=$L$2,IFERROR(INDEX(MCQ!$A:$K,ROW()-1+1,9),""),IF(ROW()-1&lt;=$L$2+$M$2,IFERROR(INDEX(CLOZE_AB!$A:$K,ROW()-1-$L$2+1,9),""),IF(ROW()-1&lt;=$L$2+$M$2+$N$2,IFERROR(INDEX(CLOZE_LIST!$A:$K,ROW()-1-$L$2-$M$2+1,9),""),IF(ROW()-1&lt;=$L$2+$M$2+$N$2+$O$2,IFERROR(INDEX(PROFORMA!$A:$K,ROW()-1-$L$2-$M$2-$N$2+1,9),""),"")))))</f>
        <v>deadlines;claims</v>
      </c>
      <c r="J111" s="3" t="str">
        <f>IF(ROW()-1&lt;=0,"",IF(ROW()-1&lt;=$L$2,IFERROR(INDEX(MCQ!$A:$K,ROW()-1+1,10),""),IF(ROW()-1&lt;=$L$2+$M$2,IFERROR(INDEX(CLOZE_AB!$A:$K,ROW()-1-$L$2+1,10),""),IF(ROW()-1&lt;=$L$2+$M$2+$N$2,IFERROR(INDEX(CLOZE_LIST!$A:$K,ROW()-1-$L$2-$M$2+1,10),""),IF(ROW()-1&lt;=$L$2+$M$2+$N$2+$O$2,IFERROR(INDEX(PROFORMA!$A:$K,ROW()-1-$L$2-$M$2-$N$2+1,10),""),"")))))</f>
        <v>user_supplied</v>
      </c>
      <c r="K111" s="3">
        <f>IF(ROW()-1&lt;=0,"",IF(ROW()-1&lt;=$L$2,IFERROR(INDEX(MCQ!$A:$K,ROW()-1+1,11),""),IF(ROW()-1&lt;=$L$2+$M$2,IFERROR(INDEX(CLOZE_AB!$A:$K,ROW()-1-$L$2+1,11),""),IF(ROW()-1&lt;=$L$2+$M$2+$N$2,IFERROR(INDEX(CLOZE_LIST!$A:$K,ROW()-1-$L$2-$M$2+1,11),""),IF(ROW()-1&lt;=$L$2+$M$2+$N$2+$O$2,IFERROR(INDEX(PROFORMA!$A:$K,ROW()-1-$L$2-$M$2-$N$2+1,11),""),"")))))</f>
        <v>1</v>
      </c>
      <c r="L111" s="3">
        <f>COUNTA(MCQ!$A:$A)-1</f>
        <v>122</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MCQ_FR_FILE_TAXDEAD_045</v>
      </c>
      <c r="B112" s="3" t="str">
        <f>IF(ROW()-1&lt;=0,"",IF(ROW()-1&lt;=$L$2,IFERROR(INDEX(MCQ!$A:$K,ROW()-1+1,2),""),IF(ROW()-1&lt;=$L$2+$M$2,IFERROR(INDEX(CLOZE_AB!$A:$K,ROW()-1-$L$2+1,2),""),IF(ROW()-1&lt;=$L$2+$M$2+$N$2,IFERROR(INDEX(CLOZE_LIST!$A:$K,ROW()-1-$L$2-$M$2+1,2),""),IF(ROW()-1&lt;=$L$2+$M$2+$N$2+$O$2,IFERROR(INDEX(PROFORMA!$A:$K,ROW()-1-$L$2-$M$2-$N$2+1,2),""),"")))))</f>
        <v>Filing rules</v>
      </c>
      <c r="C112" s="3" t="str">
        <f>IF(ROW()-1&lt;=0,"",IF(ROW()-1&lt;=$L$2,IFERROR(INDEX(MCQ!$A:$K,ROW()-1+1,3),""),IF(ROW()-1&lt;=$L$2+$M$2,IFERROR(INDEX(CLOZE_AB!$A:$K,ROW()-1-$L$2+1,3),""),IF(ROW()-1&lt;=$L$2+$M$2+$N$2,IFERROR(INDEX(CLOZE_LIST!$A:$K,ROW()-1-$L$2-$M$2+1,3),""),IF(ROW()-1&lt;=$L$2+$M$2+$N$2+$O$2,IFERROR(INDEX(PROFORMA!$A:$K,ROW()-1-$L$2-$M$2-$N$2+1,3),""),"")))))</f>
        <v>filing_requirements</v>
      </c>
      <c r="D112" s="3" t="str">
        <f>IF(ROW()-1&lt;=0,"",IF(ROW()-1&lt;=$L$2,IFERROR(INDEX(MCQ!$A:$K,ROW()-1+1,4),""),IF(ROW()-1&lt;=$L$2+$M$2,IFERROR(INDEX(CLOZE_AB!$A:$K,ROW()-1-$L$2+1,4),""),IF(ROW()-1&lt;=$L$2+$M$2+$N$2,IFERROR(INDEX(CLOZE_LIST!$A:$K,ROW()-1-$L$2-$M$2+1,4),""),IF(ROW()-1&lt;=$L$2+$M$2+$N$2+$O$2,IFERROR(INDEX(PROFORMA!$A:$K,ROW()-1-$L$2-$M$2-$N$2+1,4),""),"")))))</f>
        <v>Filing, payment and claims deadlines</v>
      </c>
      <c r="E112" s="3" t="str">
        <f>IF(ROW()-1&lt;=0,"",IF(ROW()-1&lt;=$L$2,IFERROR(INDEX(MCQ!$A:$K,ROW()-1+1,5),""),IF(ROW()-1&lt;=$L$2+$M$2,IFERROR(INDEX(CLOZE_AB!$A:$K,ROW()-1-$L$2+1,5),""),IF(ROW()-1&lt;=$L$2+$M$2+$N$2,IFERROR(INDEX(CLOZE_LIST!$A:$K,ROW()-1-$L$2-$M$2+1,5),""),IF(ROW()-1&lt;=$L$2+$M$2+$N$2+$O$2,IFERROR(INDEX(PROFORMA!$A:$K,ROW()-1-$L$2-$M$2-$N$2+1,5),""),"")))))</f>
        <v>mcq_radio</v>
      </c>
      <c r="F112" s="3">
        <f>IF(ROW()-1&lt;=0,"",IF(ROW()-1&lt;=$L$2,IFERROR(INDEX(MCQ!$A:$K,ROW()-1+1,6),""),IF(ROW()-1&lt;=$L$2+$M$2,IFERROR(INDEX(CLOZE_AB!$A:$K,ROW()-1-$L$2+1,6),""),IF(ROW()-1&lt;=$L$2+$M$2+$N$2,IFERROR(INDEX(CLOZE_LIST!$A:$K,ROW()-1-$L$2-$M$2+1,6),""),IF(ROW()-1&lt;=$L$2+$M$2+$N$2+$O$2,IFERROR(INDEX(PROFORMA!$A:$K,ROW()-1-$L$2-$M$2-$N$2+1,6),""),"")))))</f>
        <v>3</v>
      </c>
      <c r="G112" s="3" t="str">
        <f>IF(ROW()-1&lt;=0,"",IF(ROW()-1&lt;=$L$2,IFERROR(INDEX(MCQ!$A:$K,ROW()-1+1,7),""),IF(ROW()-1&lt;=$L$2+$M$2,IFERROR(INDEX(CLOZE_AB!$A:$K,ROW()-1-$L$2+1,7),""),IF(ROW()-1&lt;=$L$2+$M$2+$N$2,IFERROR(INDEX(CLOZE_LIST!$A:$K,ROW()-1-$L$2-$M$2+1,7),""),IF(ROW()-1&lt;=$L$2+$M$2+$N$2+$O$2,IFERROR(INDEX(PROFORMA!$A:$K,ROW()-1-$L$2-$M$2-$N$2+1,7),""),"")))))</f>
        <v>core</v>
      </c>
      <c r="H112" s="3" t="str">
        <f>IF(ROW()-1&lt;=0,"",IF(ROW()-1&lt;=$L$2,IFERROR(INDEX(MCQ!$A:$K,ROW()-1+1,8),""),IF(ROW()-1&lt;=$L$2+$M$2,IFERROR(INDEX(CLOZE_AB!$A:$K,ROW()-1-$L$2+1,8),""),IF(ROW()-1&lt;=$L$2+$M$2+$N$2,IFERROR(INDEX(CLOZE_LIST!$A:$K,ROW()-1-$L$2-$M$2+1,8),""),IF(ROW()-1&lt;=$L$2+$M$2+$N$2+$O$2,IFERROR(INDEX(PROFORMA!$A:$K,ROW()-1-$L$2-$M$2-$N$2+1,8),""),"")))))</f>
        <v>Y</v>
      </c>
      <c r="I112" s="3" t="str">
        <f>IF(ROW()-1&lt;=0,"",IF(ROW()-1&lt;=$L$2,IFERROR(INDEX(MCQ!$A:$K,ROW()-1+1,9),""),IF(ROW()-1&lt;=$L$2+$M$2,IFERROR(INDEX(CLOZE_AB!$A:$K,ROW()-1-$L$2+1,9),""),IF(ROW()-1&lt;=$L$2+$M$2+$N$2,IFERROR(INDEX(CLOZE_LIST!$A:$K,ROW()-1-$L$2-$M$2+1,9),""),IF(ROW()-1&lt;=$L$2+$M$2+$N$2+$O$2,IFERROR(INDEX(PROFORMA!$A:$K,ROW()-1-$L$2-$M$2-$N$2+1,9),""),"")))))</f>
        <v>deadlines;claims</v>
      </c>
      <c r="J112" s="3" t="str">
        <f>IF(ROW()-1&lt;=0,"",IF(ROW()-1&lt;=$L$2,IFERROR(INDEX(MCQ!$A:$K,ROW()-1+1,10),""),IF(ROW()-1&lt;=$L$2+$M$2,IFERROR(INDEX(CLOZE_AB!$A:$K,ROW()-1-$L$2+1,10),""),IF(ROW()-1&lt;=$L$2+$M$2+$N$2,IFERROR(INDEX(CLOZE_LIST!$A:$K,ROW()-1-$L$2-$M$2+1,10),""),IF(ROW()-1&lt;=$L$2+$M$2+$N$2+$O$2,IFERROR(INDEX(PROFORMA!$A:$K,ROW()-1-$L$2-$M$2-$N$2+1,10),""),"")))))</f>
        <v>user_supplied</v>
      </c>
      <c r="K112" s="3">
        <f>IF(ROW()-1&lt;=0,"",IF(ROW()-1&lt;=$L$2,IFERROR(INDEX(MCQ!$A:$K,ROW()-1+1,11),""),IF(ROW()-1&lt;=$L$2+$M$2,IFERROR(INDEX(CLOZE_AB!$A:$K,ROW()-1-$L$2+1,11),""),IF(ROW()-1&lt;=$L$2+$M$2+$N$2,IFERROR(INDEX(CLOZE_LIST!$A:$K,ROW()-1-$L$2-$M$2+1,11),""),IF(ROW()-1&lt;=$L$2+$M$2+$N$2+$O$2,IFERROR(INDEX(PROFORMA!$A:$K,ROW()-1-$L$2-$M$2-$N$2+1,11),""),"")))))</f>
        <v>1</v>
      </c>
      <c r="L112" s="3">
        <f>COUNTA(MCQ!$A:$A)-1</f>
        <v>122</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MCQ_FR_FILE_TAXDEAD_046</v>
      </c>
      <c r="B113" s="3" t="str">
        <f>IF(ROW()-1&lt;=0,"",IF(ROW()-1&lt;=$L$2,IFERROR(INDEX(MCQ!$A:$K,ROW()-1+1,2),""),IF(ROW()-1&lt;=$L$2+$M$2,IFERROR(INDEX(CLOZE_AB!$A:$K,ROW()-1-$L$2+1,2),""),IF(ROW()-1&lt;=$L$2+$M$2+$N$2,IFERROR(INDEX(CLOZE_LIST!$A:$K,ROW()-1-$L$2-$M$2+1,2),""),IF(ROW()-1&lt;=$L$2+$M$2+$N$2+$O$2,IFERROR(INDEX(PROFORMA!$A:$K,ROW()-1-$L$2-$M$2-$N$2+1,2),""),"")))))</f>
        <v>Filing rules</v>
      </c>
      <c r="C113" s="3" t="str">
        <f>IF(ROW()-1&lt;=0,"",IF(ROW()-1&lt;=$L$2,IFERROR(INDEX(MCQ!$A:$K,ROW()-1+1,3),""),IF(ROW()-1&lt;=$L$2+$M$2,IFERROR(INDEX(CLOZE_AB!$A:$K,ROW()-1-$L$2+1,3),""),IF(ROW()-1&lt;=$L$2+$M$2+$N$2,IFERROR(INDEX(CLOZE_LIST!$A:$K,ROW()-1-$L$2-$M$2+1,3),""),IF(ROW()-1&lt;=$L$2+$M$2+$N$2+$O$2,IFERROR(INDEX(PROFORMA!$A:$K,ROW()-1-$L$2-$M$2-$N$2+1,3),""),"")))))</f>
        <v>filing_requirements</v>
      </c>
      <c r="D113" s="3" t="str">
        <f>IF(ROW()-1&lt;=0,"",IF(ROW()-1&lt;=$L$2,IFERROR(INDEX(MCQ!$A:$K,ROW()-1+1,4),""),IF(ROW()-1&lt;=$L$2+$M$2,IFERROR(INDEX(CLOZE_AB!$A:$K,ROW()-1-$L$2+1,4),""),IF(ROW()-1&lt;=$L$2+$M$2+$N$2,IFERROR(INDEX(CLOZE_LIST!$A:$K,ROW()-1-$L$2-$M$2+1,4),""),IF(ROW()-1&lt;=$L$2+$M$2+$N$2+$O$2,IFERROR(INDEX(PROFORMA!$A:$K,ROW()-1-$L$2-$M$2-$N$2+1,4),""),"")))))</f>
        <v>Filing, payment and claims deadlines</v>
      </c>
      <c r="E113" s="3" t="str">
        <f>IF(ROW()-1&lt;=0,"",IF(ROW()-1&lt;=$L$2,IFERROR(INDEX(MCQ!$A:$K,ROW()-1+1,5),""),IF(ROW()-1&lt;=$L$2+$M$2,IFERROR(INDEX(CLOZE_AB!$A:$K,ROW()-1-$L$2+1,5),""),IF(ROW()-1&lt;=$L$2+$M$2+$N$2,IFERROR(INDEX(CLOZE_LIST!$A:$K,ROW()-1-$L$2-$M$2+1,5),""),IF(ROW()-1&lt;=$L$2+$M$2+$N$2+$O$2,IFERROR(INDEX(PROFORMA!$A:$K,ROW()-1-$L$2-$M$2-$N$2+1,5),""),"")))))</f>
        <v>mcq_radio</v>
      </c>
      <c r="F113" s="3">
        <f>IF(ROW()-1&lt;=0,"",IF(ROW()-1&lt;=$L$2,IFERROR(INDEX(MCQ!$A:$K,ROW()-1+1,6),""),IF(ROW()-1&lt;=$L$2+$M$2,IFERROR(INDEX(CLOZE_AB!$A:$K,ROW()-1-$L$2+1,6),""),IF(ROW()-1&lt;=$L$2+$M$2+$N$2,IFERROR(INDEX(CLOZE_LIST!$A:$K,ROW()-1-$L$2-$M$2+1,6),""),IF(ROW()-1&lt;=$L$2+$M$2+$N$2+$O$2,IFERROR(INDEX(PROFORMA!$A:$K,ROW()-1-$L$2-$M$2-$N$2+1,6),""),"")))))</f>
        <v>3</v>
      </c>
      <c r="G113" s="3" t="str">
        <f>IF(ROW()-1&lt;=0,"",IF(ROW()-1&lt;=$L$2,IFERROR(INDEX(MCQ!$A:$K,ROW()-1+1,7),""),IF(ROW()-1&lt;=$L$2+$M$2,IFERROR(INDEX(CLOZE_AB!$A:$K,ROW()-1-$L$2+1,7),""),IF(ROW()-1&lt;=$L$2+$M$2+$N$2,IFERROR(INDEX(CLOZE_LIST!$A:$K,ROW()-1-$L$2-$M$2+1,7),""),IF(ROW()-1&lt;=$L$2+$M$2+$N$2+$O$2,IFERROR(INDEX(PROFORMA!$A:$K,ROW()-1-$L$2-$M$2-$N$2+1,7),""),"")))))</f>
        <v>core</v>
      </c>
      <c r="H113" s="3" t="str">
        <f>IF(ROW()-1&lt;=0,"",IF(ROW()-1&lt;=$L$2,IFERROR(INDEX(MCQ!$A:$K,ROW()-1+1,8),""),IF(ROW()-1&lt;=$L$2+$M$2,IFERROR(INDEX(CLOZE_AB!$A:$K,ROW()-1-$L$2+1,8),""),IF(ROW()-1&lt;=$L$2+$M$2+$N$2,IFERROR(INDEX(CLOZE_LIST!$A:$K,ROW()-1-$L$2-$M$2+1,8),""),IF(ROW()-1&lt;=$L$2+$M$2+$N$2+$O$2,IFERROR(INDEX(PROFORMA!$A:$K,ROW()-1-$L$2-$M$2-$N$2+1,8),""),"")))))</f>
        <v>Y</v>
      </c>
      <c r="I113" s="3" t="str">
        <f>IF(ROW()-1&lt;=0,"",IF(ROW()-1&lt;=$L$2,IFERROR(INDEX(MCQ!$A:$K,ROW()-1+1,9),""),IF(ROW()-1&lt;=$L$2+$M$2,IFERROR(INDEX(CLOZE_AB!$A:$K,ROW()-1-$L$2+1,9),""),IF(ROW()-1&lt;=$L$2+$M$2+$N$2,IFERROR(INDEX(CLOZE_LIST!$A:$K,ROW()-1-$L$2-$M$2+1,9),""),IF(ROW()-1&lt;=$L$2+$M$2+$N$2+$O$2,IFERROR(INDEX(PROFORMA!$A:$K,ROW()-1-$L$2-$M$2-$N$2+1,9),""),"")))))</f>
        <v>deadlines;claims</v>
      </c>
      <c r="J113" s="3" t="str">
        <f>IF(ROW()-1&lt;=0,"",IF(ROW()-1&lt;=$L$2,IFERROR(INDEX(MCQ!$A:$K,ROW()-1+1,10),""),IF(ROW()-1&lt;=$L$2+$M$2,IFERROR(INDEX(CLOZE_AB!$A:$K,ROW()-1-$L$2+1,10),""),IF(ROW()-1&lt;=$L$2+$M$2+$N$2,IFERROR(INDEX(CLOZE_LIST!$A:$K,ROW()-1-$L$2-$M$2+1,10),""),IF(ROW()-1&lt;=$L$2+$M$2+$N$2+$O$2,IFERROR(INDEX(PROFORMA!$A:$K,ROW()-1-$L$2-$M$2-$N$2+1,10),""),"")))))</f>
        <v>user_supplied</v>
      </c>
      <c r="K113" s="3">
        <f>IF(ROW()-1&lt;=0,"",IF(ROW()-1&lt;=$L$2,IFERROR(INDEX(MCQ!$A:$K,ROW()-1+1,11),""),IF(ROW()-1&lt;=$L$2+$M$2,IFERROR(INDEX(CLOZE_AB!$A:$K,ROW()-1-$L$2+1,11),""),IF(ROW()-1&lt;=$L$2+$M$2+$N$2,IFERROR(INDEX(CLOZE_LIST!$A:$K,ROW()-1-$L$2-$M$2+1,11),""),IF(ROW()-1&lt;=$L$2+$M$2+$N$2+$O$2,IFERROR(INDEX(PROFORMA!$A:$K,ROW()-1-$L$2-$M$2-$N$2+1,11),""),"")))))</f>
        <v>1</v>
      </c>
      <c r="L113" s="3">
        <f>COUNTA(MCQ!$A:$A)-1</f>
        <v>122</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MCQ_FR_FILE_TAXDEAD_047</v>
      </c>
      <c r="B114" s="3" t="str">
        <f>IF(ROW()-1&lt;=0,"",IF(ROW()-1&lt;=$L$2,IFERROR(INDEX(MCQ!$A:$K,ROW()-1+1,2),""),IF(ROW()-1&lt;=$L$2+$M$2,IFERROR(INDEX(CLOZE_AB!$A:$K,ROW()-1-$L$2+1,2),""),IF(ROW()-1&lt;=$L$2+$M$2+$N$2,IFERROR(INDEX(CLOZE_LIST!$A:$K,ROW()-1-$L$2-$M$2+1,2),""),IF(ROW()-1&lt;=$L$2+$M$2+$N$2+$O$2,IFERROR(INDEX(PROFORMA!$A:$K,ROW()-1-$L$2-$M$2-$N$2+1,2),""),"")))))</f>
        <v>Filing rules</v>
      </c>
      <c r="C114" s="3" t="str">
        <f>IF(ROW()-1&lt;=0,"",IF(ROW()-1&lt;=$L$2,IFERROR(INDEX(MCQ!$A:$K,ROW()-1+1,3),""),IF(ROW()-1&lt;=$L$2+$M$2,IFERROR(INDEX(CLOZE_AB!$A:$K,ROW()-1-$L$2+1,3),""),IF(ROW()-1&lt;=$L$2+$M$2+$N$2,IFERROR(INDEX(CLOZE_LIST!$A:$K,ROW()-1-$L$2-$M$2+1,3),""),IF(ROW()-1&lt;=$L$2+$M$2+$N$2+$O$2,IFERROR(INDEX(PROFORMA!$A:$K,ROW()-1-$L$2-$M$2-$N$2+1,3),""),"")))))</f>
        <v>filing_requirements</v>
      </c>
      <c r="D114" s="3" t="str">
        <f>IF(ROW()-1&lt;=0,"",IF(ROW()-1&lt;=$L$2,IFERROR(INDEX(MCQ!$A:$K,ROW()-1+1,4),""),IF(ROW()-1&lt;=$L$2+$M$2,IFERROR(INDEX(CLOZE_AB!$A:$K,ROW()-1-$L$2+1,4),""),IF(ROW()-1&lt;=$L$2+$M$2+$N$2,IFERROR(INDEX(CLOZE_LIST!$A:$K,ROW()-1-$L$2-$M$2+1,4),""),IF(ROW()-1&lt;=$L$2+$M$2+$N$2+$O$2,IFERROR(INDEX(PROFORMA!$A:$K,ROW()-1-$L$2-$M$2-$N$2+1,4),""),"")))))</f>
        <v>Filing, payment and claims deadlines</v>
      </c>
      <c r="E114" s="3" t="str">
        <f>IF(ROW()-1&lt;=0,"",IF(ROW()-1&lt;=$L$2,IFERROR(INDEX(MCQ!$A:$K,ROW()-1+1,5),""),IF(ROW()-1&lt;=$L$2+$M$2,IFERROR(INDEX(CLOZE_AB!$A:$K,ROW()-1-$L$2+1,5),""),IF(ROW()-1&lt;=$L$2+$M$2+$N$2,IFERROR(INDEX(CLOZE_LIST!$A:$K,ROW()-1-$L$2-$M$2+1,5),""),IF(ROW()-1&lt;=$L$2+$M$2+$N$2+$O$2,IFERROR(INDEX(PROFORMA!$A:$K,ROW()-1-$L$2-$M$2-$N$2+1,5),""),"")))))</f>
        <v>mcq_radio</v>
      </c>
      <c r="F114" s="3">
        <f>IF(ROW()-1&lt;=0,"",IF(ROW()-1&lt;=$L$2,IFERROR(INDEX(MCQ!$A:$K,ROW()-1+1,6),""),IF(ROW()-1&lt;=$L$2+$M$2,IFERROR(INDEX(CLOZE_AB!$A:$K,ROW()-1-$L$2+1,6),""),IF(ROW()-1&lt;=$L$2+$M$2+$N$2,IFERROR(INDEX(CLOZE_LIST!$A:$K,ROW()-1-$L$2-$M$2+1,6),""),IF(ROW()-1&lt;=$L$2+$M$2+$N$2+$O$2,IFERROR(INDEX(PROFORMA!$A:$K,ROW()-1-$L$2-$M$2-$N$2+1,6),""),"")))))</f>
        <v>3</v>
      </c>
      <c r="G114" s="3" t="str">
        <f>IF(ROW()-1&lt;=0,"",IF(ROW()-1&lt;=$L$2,IFERROR(INDEX(MCQ!$A:$K,ROW()-1+1,7),""),IF(ROW()-1&lt;=$L$2+$M$2,IFERROR(INDEX(CLOZE_AB!$A:$K,ROW()-1-$L$2+1,7),""),IF(ROW()-1&lt;=$L$2+$M$2+$N$2,IFERROR(INDEX(CLOZE_LIST!$A:$K,ROW()-1-$L$2-$M$2+1,7),""),IF(ROW()-1&lt;=$L$2+$M$2+$N$2+$O$2,IFERROR(INDEX(PROFORMA!$A:$K,ROW()-1-$L$2-$M$2-$N$2+1,7),""),"")))))</f>
        <v>core</v>
      </c>
      <c r="H114" s="3" t="str">
        <f>IF(ROW()-1&lt;=0,"",IF(ROW()-1&lt;=$L$2,IFERROR(INDEX(MCQ!$A:$K,ROW()-1+1,8),""),IF(ROW()-1&lt;=$L$2+$M$2,IFERROR(INDEX(CLOZE_AB!$A:$K,ROW()-1-$L$2+1,8),""),IF(ROW()-1&lt;=$L$2+$M$2+$N$2,IFERROR(INDEX(CLOZE_LIST!$A:$K,ROW()-1-$L$2-$M$2+1,8),""),IF(ROW()-1&lt;=$L$2+$M$2+$N$2+$O$2,IFERROR(INDEX(PROFORMA!$A:$K,ROW()-1-$L$2-$M$2-$N$2+1,8),""),"")))))</f>
        <v>Y</v>
      </c>
      <c r="I114" s="3" t="str">
        <f>IF(ROW()-1&lt;=0,"",IF(ROW()-1&lt;=$L$2,IFERROR(INDEX(MCQ!$A:$K,ROW()-1+1,9),""),IF(ROW()-1&lt;=$L$2+$M$2,IFERROR(INDEX(CLOZE_AB!$A:$K,ROW()-1-$L$2+1,9),""),IF(ROW()-1&lt;=$L$2+$M$2+$N$2,IFERROR(INDEX(CLOZE_LIST!$A:$K,ROW()-1-$L$2-$M$2+1,9),""),IF(ROW()-1&lt;=$L$2+$M$2+$N$2+$O$2,IFERROR(INDEX(PROFORMA!$A:$K,ROW()-1-$L$2-$M$2-$N$2+1,9),""),"")))))</f>
        <v>deadlines;claims</v>
      </c>
      <c r="J114" s="3" t="str">
        <f>IF(ROW()-1&lt;=0,"",IF(ROW()-1&lt;=$L$2,IFERROR(INDEX(MCQ!$A:$K,ROW()-1+1,10),""),IF(ROW()-1&lt;=$L$2+$M$2,IFERROR(INDEX(CLOZE_AB!$A:$K,ROW()-1-$L$2+1,10),""),IF(ROW()-1&lt;=$L$2+$M$2+$N$2,IFERROR(INDEX(CLOZE_LIST!$A:$K,ROW()-1-$L$2-$M$2+1,10),""),IF(ROW()-1&lt;=$L$2+$M$2+$N$2+$O$2,IFERROR(INDEX(PROFORMA!$A:$K,ROW()-1-$L$2-$M$2-$N$2+1,10),""),"")))))</f>
        <v>user_supplied</v>
      </c>
      <c r="K114" s="3">
        <f>IF(ROW()-1&lt;=0,"",IF(ROW()-1&lt;=$L$2,IFERROR(INDEX(MCQ!$A:$K,ROW()-1+1,11),""),IF(ROW()-1&lt;=$L$2+$M$2,IFERROR(INDEX(CLOZE_AB!$A:$K,ROW()-1-$L$2+1,11),""),IF(ROW()-1&lt;=$L$2+$M$2+$N$2,IFERROR(INDEX(CLOZE_LIST!$A:$K,ROW()-1-$L$2-$M$2+1,11),""),IF(ROW()-1&lt;=$L$2+$M$2+$N$2+$O$2,IFERROR(INDEX(PROFORMA!$A:$K,ROW()-1-$L$2-$M$2-$N$2+1,11),""),"")))))</f>
        <v>1</v>
      </c>
      <c r="L114" s="3">
        <f>COUNTA(MCQ!$A:$A)-1</f>
        <v>122</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MCQ_FR_FILE_TAXDEAD_048</v>
      </c>
      <c r="B115" s="3" t="str">
        <f>IF(ROW()-1&lt;=0,"",IF(ROW()-1&lt;=$L$2,IFERROR(INDEX(MCQ!$A:$K,ROW()-1+1,2),""),IF(ROW()-1&lt;=$L$2+$M$2,IFERROR(INDEX(CLOZE_AB!$A:$K,ROW()-1-$L$2+1,2),""),IF(ROW()-1&lt;=$L$2+$M$2+$N$2,IFERROR(INDEX(CLOZE_LIST!$A:$K,ROW()-1-$L$2-$M$2+1,2),""),IF(ROW()-1&lt;=$L$2+$M$2+$N$2+$O$2,IFERROR(INDEX(PROFORMA!$A:$K,ROW()-1-$L$2-$M$2-$N$2+1,2),""),"")))))</f>
        <v>Filing rules</v>
      </c>
      <c r="C115" s="3" t="str">
        <f>IF(ROW()-1&lt;=0,"",IF(ROW()-1&lt;=$L$2,IFERROR(INDEX(MCQ!$A:$K,ROW()-1+1,3),""),IF(ROW()-1&lt;=$L$2+$M$2,IFERROR(INDEX(CLOZE_AB!$A:$K,ROW()-1-$L$2+1,3),""),IF(ROW()-1&lt;=$L$2+$M$2+$N$2,IFERROR(INDEX(CLOZE_LIST!$A:$K,ROW()-1-$L$2-$M$2+1,3),""),IF(ROW()-1&lt;=$L$2+$M$2+$N$2+$O$2,IFERROR(INDEX(PROFORMA!$A:$K,ROW()-1-$L$2-$M$2-$N$2+1,3),""),"")))))</f>
        <v>filing_requirements</v>
      </c>
      <c r="D115" s="3" t="str">
        <f>IF(ROW()-1&lt;=0,"",IF(ROW()-1&lt;=$L$2,IFERROR(INDEX(MCQ!$A:$K,ROW()-1+1,4),""),IF(ROW()-1&lt;=$L$2+$M$2,IFERROR(INDEX(CLOZE_AB!$A:$K,ROW()-1-$L$2+1,4),""),IF(ROW()-1&lt;=$L$2+$M$2+$N$2,IFERROR(INDEX(CLOZE_LIST!$A:$K,ROW()-1-$L$2-$M$2+1,4),""),IF(ROW()-1&lt;=$L$2+$M$2+$N$2+$O$2,IFERROR(INDEX(PROFORMA!$A:$K,ROW()-1-$L$2-$M$2-$N$2+1,4),""),"")))))</f>
        <v>Filing, payment and claims deadlines</v>
      </c>
      <c r="E115" s="3" t="str">
        <f>IF(ROW()-1&lt;=0,"",IF(ROW()-1&lt;=$L$2,IFERROR(INDEX(MCQ!$A:$K,ROW()-1+1,5),""),IF(ROW()-1&lt;=$L$2+$M$2,IFERROR(INDEX(CLOZE_AB!$A:$K,ROW()-1-$L$2+1,5),""),IF(ROW()-1&lt;=$L$2+$M$2+$N$2,IFERROR(INDEX(CLOZE_LIST!$A:$K,ROW()-1-$L$2-$M$2+1,5),""),IF(ROW()-1&lt;=$L$2+$M$2+$N$2+$O$2,IFERROR(INDEX(PROFORMA!$A:$K,ROW()-1-$L$2-$M$2-$N$2+1,5),""),"")))))</f>
        <v>mcq_radio</v>
      </c>
      <c r="F115" s="3">
        <f>IF(ROW()-1&lt;=0,"",IF(ROW()-1&lt;=$L$2,IFERROR(INDEX(MCQ!$A:$K,ROW()-1+1,6),""),IF(ROW()-1&lt;=$L$2+$M$2,IFERROR(INDEX(CLOZE_AB!$A:$K,ROW()-1-$L$2+1,6),""),IF(ROW()-1&lt;=$L$2+$M$2+$N$2,IFERROR(INDEX(CLOZE_LIST!$A:$K,ROW()-1-$L$2-$M$2+1,6),""),IF(ROW()-1&lt;=$L$2+$M$2+$N$2+$O$2,IFERROR(INDEX(PROFORMA!$A:$K,ROW()-1-$L$2-$M$2-$N$2+1,6),""),"")))))</f>
        <v>3</v>
      </c>
      <c r="G115" s="3" t="str">
        <f>IF(ROW()-1&lt;=0,"",IF(ROW()-1&lt;=$L$2,IFERROR(INDEX(MCQ!$A:$K,ROW()-1+1,7),""),IF(ROW()-1&lt;=$L$2+$M$2,IFERROR(INDEX(CLOZE_AB!$A:$K,ROW()-1-$L$2+1,7),""),IF(ROW()-1&lt;=$L$2+$M$2+$N$2,IFERROR(INDEX(CLOZE_LIST!$A:$K,ROW()-1-$L$2-$M$2+1,7),""),IF(ROW()-1&lt;=$L$2+$M$2+$N$2+$O$2,IFERROR(INDEX(PROFORMA!$A:$K,ROW()-1-$L$2-$M$2-$N$2+1,7),""),"")))))</f>
        <v>core</v>
      </c>
      <c r="H115" s="3" t="str">
        <f>IF(ROW()-1&lt;=0,"",IF(ROW()-1&lt;=$L$2,IFERROR(INDEX(MCQ!$A:$K,ROW()-1+1,8),""),IF(ROW()-1&lt;=$L$2+$M$2,IFERROR(INDEX(CLOZE_AB!$A:$K,ROW()-1-$L$2+1,8),""),IF(ROW()-1&lt;=$L$2+$M$2+$N$2,IFERROR(INDEX(CLOZE_LIST!$A:$K,ROW()-1-$L$2-$M$2+1,8),""),IF(ROW()-1&lt;=$L$2+$M$2+$N$2+$O$2,IFERROR(INDEX(PROFORMA!$A:$K,ROW()-1-$L$2-$M$2-$N$2+1,8),""),"")))))</f>
        <v>Y</v>
      </c>
      <c r="I115" s="3" t="str">
        <f>IF(ROW()-1&lt;=0,"",IF(ROW()-1&lt;=$L$2,IFERROR(INDEX(MCQ!$A:$K,ROW()-1+1,9),""),IF(ROW()-1&lt;=$L$2+$M$2,IFERROR(INDEX(CLOZE_AB!$A:$K,ROW()-1-$L$2+1,9),""),IF(ROW()-1&lt;=$L$2+$M$2+$N$2,IFERROR(INDEX(CLOZE_LIST!$A:$K,ROW()-1-$L$2-$M$2+1,9),""),IF(ROW()-1&lt;=$L$2+$M$2+$N$2+$O$2,IFERROR(INDEX(PROFORMA!$A:$K,ROW()-1-$L$2-$M$2-$N$2+1,9),""),"")))))</f>
        <v>deadlines;claims</v>
      </c>
      <c r="J115" s="3" t="str">
        <f>IF(ROW()-1&lt;=0,"",IF(ROW()-1&lt;=$L$2,IFERROR(INDEX(MCQ!$A:$K,ROW()-1+1,10),""),IF(ROW()-1&lt;=$L$2+$M$2,IFERROR(INDEX(CLOZE_AB!$A:$K,ROW()-1-$L$2+1,10),""),IF(ROW()-1&lt;=$L$2+$M$2+$N$2,IFERROR(INDEX(CLOZE_LIST!$A:$K,ROW()-1-$L$2-$M$2+1,10),""),IF(ROW()-1&lt;=$L$2+$M$2+$N$2+$O$2,IFERROR(INDEX(PROFORMA!$A:$K,ROW()-1-$L$2-$M$2-$N$2+1,10),""),"")))))</f>
        <v>user_supplied</v>
      </c>
      <c r="K115" s="3">
        <f>IF(ROW()-1&lt;=0,"",IF(ROW()-1&lt;=$L$2,IFERROR(INDEX(MCQ!$A:$K,ROW()-1+1,11),""),IF(ROW()-1&lt;=$L$2+$M$2,IFERROR(INDEX(CLOZE_AB!$A:$K,ROW()-1-$L$2+1,11),""),IF(ROW()-1&lt;=$L$2+$M$2+$N$2,IFERROR(INDEX(CLOZE_LIST!$A:$K,ROW()-1-$L$2-$M$2+1,11),""),IF(ROW()-1&lt;=$L$2+$M$2+$N$2+$O$2,IFERROR(INDEX(PROFORMA!$A:$K,ROW()-1-$L$2-$M$2-$N$2+1,11),""),"")))))</f>
        <v>1</v>
      </c>
      <c r="L115" s="3">
        <f>COUNTA(MCQ!$A:$A)-1</f>
        <v>122</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MCQ_FR_FILE_TAXDEAD_049</v>
      </c>
      <c r="B116" s="3" t="str">
        <f>IF(ROW()-1&lt;=0,"",IF(ROW()-1&lt;=$L$2,IFERROR(INDEX(MCQ!$A:$K,ROW()-1+1,2),""),IF(ROW()-1&lt;=$L$2+$M$2,IFERROR(INDEX(CLOZE_AB!$A:$K,ROW()-1-$L$2+1,2),""),IF(ROW()-1&lt;=$L$2+$M$2+$N$2,IFERROR(INDEX(CLOZE_LIST!$A:$K,ROW()-1-$L$2-$M$2+1,2),""),IF(ROW()-1&lt;=$L$2+$M$2+$N$2+$O$2,IFERROR(INDEX(PROFORMA!$A:$K,ROW()-1-$L$2-$M$2-$N$2+1,2),""),"")))))</f>
        <v>Filing rules</v>
      </c>
      <c r="C116" s="3" t="str">
        <f>IF(ROW()-1&lt;=0,"",IF(ROW()-1&lt;=$L$2,IFERROR(INDEX(MCQ!$A:$K,ROW()-1+1,3),""),IF(ROW()-1&lt;=$L$2+$M$2,IFERROR(INDEX(CLOZE_AB!$A:$K,ROW()-1-$L$2+1,3),""),IF(ROW()-1&lt;=$L$2+$M$2+$N$2,IFERROR(INDEX(CLOZE_LIST!$A:$K,ROW()-1-$L$2-$M$2+1,3),""),IF(ROW()-1&lt;=$L$2+$M$2+$N$2+$O$2,IFERROR(INDEX(PROFORMA!$A:$K,ROW()-1-$L$2-$M$2-$N$2+1,3),""),"")))))</f>
        <v>filing_requirements</v>
      </c>
      <c r="D116" s="3" t="str">
        <f>IF(ROW()-1&lt;=0,"",IF(ROW()-1&lt;=$L$2,IFERROR(INDEX(MCQ!$A:$K,ROW()-1+1,4),""),IF(ROW()-1&lt;=$L$2+$M$2,IFERROR(INDEX(CLOZE_AB!$A:$K,ROW()-1-$L$2+1,4),""),IF(ROW()-1&lt;=$L$2+$M$2+$N$2,IFERROR(INDEX(CLOZE_LIST!$A:$K,ROW()-1-$L$2-$M$2+1,4),""),IF(ROW()-1&lt;=$L$2+$M$2+$N$2+$O$2,IFERROR(INDEX(PROFORMA!$A:$K,ROW()-1-$L$2-$M$2-$N$2+1,4),""),"")))))</f>
        <v>Filing, payment and claims deadlines</v>
      </c>
      <c r="E116" s="3" t="str">
        <f>IF(ROW()-1&lt;=0,"",IF(ROW()-1&lt;=$L$2,IFERROR(INDEX(MCQ!$A:$K,ROW()-1+1,5),""),IF(ROW()-1&lt;=$L$2+$M$2,IFERROR(INDEX(CLOZE_AB!$A:$K,ROW()-1-$L$2+1,5),""),IF(ROW()-1&lt;=$L$2+$M$2+$N$2,IFERROR(INDEX(CLOZE_LIST!$A:$K,ROW()-1-$L$2-$M$2+1,5),""),IF(ROW()-1&lt;=$L$2+$M$2+$N$2+$O$2,IFERROR(INDEX(PROFORMA!$A:$K,ROW()-1-$L$2-$M$2-$N$2+1,5),""),"")))))</f>
        <v>mcq_radio</v>
      </c>
      <c r="F116" s="3">
        <f>IF(ROW()-1&lt;=0,"",IF(ROW()-1&lt;=$L$2,IFERROR(INDEX(MCQ!$A:$K,ROW()-1+1,6),""),IF(ROW()-1&lt;=$L$2+$M$2,IFERROR(INDEX(CLOZE_AB!$A:$K,ROW()-1-$L$2+1,6),""),IF(ROW()-1&lt;=$L$2+$M$2+$N$2,IFERROR(INDEX(CLOZE_LIST!$A:$K,ROW()-1-$L$2-$M$2+1,6),""),IF(ROW()-1&lt;=$L$2+$M$2+$N$2+$O$2,IFERROR(INDEX(PROFORMA!$A:$K,ROW()-1-$L$2-$M$2-$N$2+1,6),""),"")))))</f>
        <v>3</v>
      </c>
      <c r="G116" s="3" t="str">
        <f>IF(ROW()-1&lt;=0,"",IF(ROW()-1&lt;=$L$2,IFERROR(INDEX(MCQ!$A:$K,ROW()-1+1,7),""),IF(ROW()-1&lt;=$L$2+$M$2,IFERROR(INDEX(CLOZE_AB!$A:$K,ROW()-1-$L$2+1,7),""),IF(ROW()-1&lt;=$L$2+$M$2+$N$2,IFERROR(INDEX(CLOZE_LIST!$A:$K,ROW()-1-$L$2-$M$2+1,7),""),IF(ROW()-1&lt;=$L$2+$M$2+$N$2+$O$2,IFERROR(INDEX(PROFORMA!$A:$K,ROW()-1-$L$2-$M$2-$N$2+1,7),""),"")))))</f>
        <v>core</v>
      </c>
      <c r="H116" s="3" t="str">
        <f>IF(ROW()-1&lt;=0,"",IF(ROW()-1&lt;=$L$2,IFERROR(INDEX(MCQ!$A:$K,ROW()-1+1,8),""),IF(ROW()-1&lt;=$L$2+$M$2,IFERROR(INDEX(CLOZE_AB!$A:$K,ROW()-1-$L$2+1,8),""),IF(ROW()-1&lt;=$L$2+$M$2+$N$2,IFERROR(INDEX(CLOZE_LIST!$A:$K,ROW()-1-$L$2-$M$2+1,8),""),IF(ROW()-1&lt;=$L$2+$M$2+$N$2+$O$2,IFERROR(INDEX(PROFORMA!$A:$K,ROW()-1-$L$2-$M$2-$N$2+1,8),""),"")))))</f>
        <v>Y</v>
      </c>
      <c r="I116" s="3" t="str">
        <f>IF(ROW()-1&lt;=0,"",IF(ROW()-1&lt;=$L$2,IFERROR(INDEX(MCQ!$A:$K,ROW()-1+1,9),""),IF(ROW()-1&lt;=$L$2+$M$2,IFERROR(INDEX(CLOZE_AB!$A:$K,ROW()-1-$L$2+1,9),""),IF(ROW()-1&lt;=$L$2+$M$2+$N$2,IFERROR(INDEX(CLOZE_LIST!$A:$K,ROW()-1-$L$2-$M$2+1,9),""),IF(ROW()-1&lt;=$L$2+$M$2+$N$2+$O$2,IFERROR(INDEX(PROFORMA!$A:$K,ROW()-1-$L$2-$M$2-$N$2+1,9),""),"")))))</f>
        <v>deadlines;claims</v>
      </c>
      <c r="J116" s="3" t="str">
        <f>IF(ROW()-1&lt;=0,"",IF(ROW()-1&lt;=$L$2,IFERROR(INDEX(MCQ!$A:$K,ROW()-1+1,10),""),IF(ROW()-1&lt;=$L$2+$M$2,IFERROR(INDEX(CLOZE_AB!$A:$K,ROW()-1-$L$2+1,10),""),IF(ROW()-1&lt;=$L$2+$M$2+$N$2,IFERROR(INDEX(CLOZE_LIST!$A:$K,ROW()-1-$L$2-$M$2+1,10),""),IF(ROW()-1&lt;=$L$2+$M$2+$N$2+$O$2,IFERROR(INDEX(PROFORMA!$A:$K,ROW()-1-$L$2-$M$2-$N$2+1,10),""),"")))))</f>
        <v>user_supplied</v>
      </c>
      <c r="K116" s="3">
        <f>IF(ROW()-1&lt;=0,"",IF(ROW()-1&lt;=$L$2,IFERROR(INDEX(MCQ!$A:$K,ROW()-1+1,11),""),IF(ROW()-1&lt;=$L$2+$M$2,IFERROR(INDEX(CLOZE_AB!$A:$K,ROW()-1-$L$2+1,11),""),IF(ROW()-1&lt;=$L$2+$M$2+$N$2,IFERROR(INDEX(CLOZE_LIST!$A:$K,ROW()-1-$L$2-$M$2+1,11),""),IF(ROW()-1&lt;=$L$2+$M$2+$N$2+$O$2,IFERROR(INDEX(PROFORMA!$A:$K,ROW()-1-$L$2-$M$2-$N$2+1,11),""),"")))))</f>
        <v>1</v>
      </c>
      <c r="L116" s="3">
        <f>COUNTA(MCQ!$A:$A)-1</f>
        <v>122</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MCQ_FR_FILE_TAXDEAD_050</v>
      </c>
      <c r="B117" s="3" t="str">
        <f>IF(ROW()-1&lt;=0,"",IF(ROW()-1&lt;=$L$2,IFERROR(INDEX(MCQ!$A:$K,ROW()-1+1,2),""),IF(ROW()-1&lt;=$L$2+$M$2,IFERROR(INDEX(CLOZE_AB!$A:$K,ROW()-1-$L$2+1,2),""),IF(ROW()-1&lt;=$L$2+$M$2+$N$2,IFERROR(INDEX(CLOZE_LIST!$A:$K,ROW()-1-$L$2-$M$2+1,2),""),IF(ROW()-1&lt;=$L$2+$M$2+$N$2+$O$2,IFERROR(INDEX(PROFORMA!$A:$K,ROW()-1-$L$2-$M$2-$N$2+1,2),""),"")))))</f>
        <v>Filing rules</v>
      </c>
      <c r="C117" s="3" t="str">
        <f>IF(ROW()-1&lt;=0,"",IF(ROW()-1&lt;=$L$2,IFERROR(INDEX(MCQ!$A:$K,ROW()-1+1,3),""),IF(ROW()-1&lt;=$L$2+$M$2,IFERROR(INDEX(CLOZE_AB!$A:$K,ROW()-1-$L$2+1,3),""),IF(ROW()-1&lt;=$L$2+$M$2+$N$2,IFERROR(INDEX(CLOZE_LIST!$A:$K,ROW()-1-$L$2-$M$2+1,3),""),IF(ROW()-1&lt;=$L$2+$M$2+$N$2+$O$2,IFERROR(INDEX(PROFORMA!$A:$K,ROW()-1-$L$2-$M$2-$N$2+1,3),""),"")))))</f>
        <v>filing_requirements</v>
      </c>
      <c r="D117" s="3" t="str">
        <f>IF(ROW()-1&lt;=0,"",IF(ROW()-1&lt;=$L$2,IFERROR(INDEX(MCQ!$A:$K,ROW()-1+1,4),""),IF(ROW()-1&lt;=$L$2+$M$2,IFERROR(INDEX(CLOZE_AB!$A:$K,ROW()-1-$L$2+1,4),""),IF(ROW()-1&lt;=$L$2+$M$2+$N$2,IFERROR(INDEX(CLOZE_LIST!$A:$K,ROW()-1-$L$2-$M$2+1,4),""),IF(ROW()-1&lt;=$L$2+$M$2+$N$2+$O$2,IFERROR(INDEX(PROFORMA!$A:$K,ROW()-1-$L$2-$M$2-$N$2+1,4),""),"")))))</f>
        <v>Filing, payment and claims deadlines</v>
      </c>
      <c r="E117" s="3" t="str">
        <f>IF(ROW()-1&lt;=0,"",IF(ROW()-1&lt;=$L$2,IFERROR(INDEX(MCQ!$A:$K,ROW()-1+1,5),""),IF(ROW()-1&lt;=$L$2+$M$2,IFERROR(INDEX(CLOZE_AB!$A:$K,ROW()-1-$L$2+1,5),""),IF(ROW()-1&lt;=$L$2+$M$2+$N$2,IFERROR(INDEX(CLOZE_LIST!$A:$K,ROW()-1-$L$2-$M$2+1,5),""),IF(ROW()-1&lt;=$L$2+$M$2+$N$2+$O$2,IFERROR(INDEX(PROFORMA!$A:$K,ROW()-1-$L$2-$M$2-$N$2+1,5),""),"")))))</f>
        <v>mcq_radio</v>
      </c>
      <c r="F117" s="3">
        <f>IF(ROW()-1&lt;=0,"",IF(ROW()-1&lt;=$L$2,IFERROR(INDEX(MCQ!$A:$K,ROW()-1+1,6),""),IF(ROW()-1&lt;=$L$2+$M$2,IFERROR(INDEX(CLOZE_AB!$A:$K,ROW()-1-$L$2+1,6),""),IF(ROW()-1&lt;=$L$2+$M$2+$N$2,IFERROR(INDEX(CLOZE_LIST!$A:$K,ROW()-1-$L$2-$M$2+1,6),""),IF(ROW()-1&lt;=$L$2+$M$2+$N$2+$O$2,IFERROR(INDEX(PROFORMA!$A:$K,ROW()-1-$L$2-$M$2-$N$2+1,6),""),"")))))</f>
        <v>3</v>
      </c>
      <c r="G117" s="3" t="str">
        <f>IF(ROW()-1&lt;=0,"",IF(ROW()-1&lt;=$L$2,IFERROR(INDEX(MCQ!$A:$K,ROW()-1+1,7),""),IF(ROW()-1&lt;=$L$2+$M$2,IFERROR(INDEX(CLOZE_AB!$A:$K,ROW()-1-$L$2+1,7),""),IF(ROW()-1&lt;=$L$2+$M$2+$N$2,IFERROR(INDEX(CLOZE_LIST!$A:$K,ROW()-1-$L$2-$M$2+1,7),""),IF(ROW()-1&lt;=$L$2+$M$2+$N$2+$O$2,IFERROR(INDEX(PROFORMA!$A:$K,ROW()-1-$L$2-$M$2-$N$2+1,7),""),"")))))</f>
        <v>core</v>
      </c>
      <c r="H117" s="3" t="str">
        <f>IF(ROW()-1&lt;=0,"",IF(ROW()-1&lt;=$L$2,IFERROR(INDEX(MCQ!$A:$K,ROW()-1+1,8),""),IF(ROW()-1&lt;=$L$2+$M$2,IFERROR(INDEX(CLOZE_AB!$A:$K,ROW()-1-$L$2+1,8),""),IF(ROW()-1&lt;=$L$2+$M$2+$N$2,IFERROR(INDEX(CLOZE_LIST!$A:$K,ROW()-1-$L$2-$M$2+1,8),""),IF(ROW()-1&lt;=$L$2+$M$2+$N$2+$O$2,IFERROR(INDEX(PROFORMA!$A:$K,ROW()-1-$L$2-$M$2-$N$2+1,8),""),"")))))</f>
        <v>Y</v>
      </c>
      <c r="I117" s="3" t="str">
        <f>IF(ROW()-1&lt;=0,"",IF(ROW()-1&lt;=$L$2,IFERROR(INDEX(MCQ!$A:$K,ROW()-1+1,9),""),IF(ROW()-1&lt;=$L$2+$M$2,IFERROR(INDEX(CLOZE_AB!$A:$K,ROW()-1-$L$2+1,9),""),IF(ROW()-1&lt;=$L$2+$M$2+$N$2,IFERROR(INDEX(CLOZE_LIST!$A:$K,ROW()-1-$L$2-$M$2+1,9),""),IF(ROW()-1&lt;=$L$2+$M$2+$N$2+$O$2,IFERROR(INDEX(PROFORMA!$A:$K,ROW()-1-$L$2-$M$2-$N$2+1,9),""),"")))))</f>
        <v>deadlines;claims</v>
      </c>
      <c r="J117" s="3" t="str">
        <f>IF(ROW()-1&lt;=0,"",IF(ROW()-1&lt;=$L$2,IFERROR(INDEX(MCQ!$A:$K,ROW()-1+1,10),""),IF(ROW()-1&lt;=$L$2+$M$2,IFERROR(INDEX(CLOZE_AB!$A:$K,ROW()-1-$L$2+1,10),""),IF(ROW()-1&lt;=$L$2+$M$2+$N$2,IFERROR(INDEX(CLOZE_LIST!$A:$K,ROW()-1-$L$2-$M$2+1,10),""),IF(ROW()-1&lt;=$L$2+$M$2+$N$2+$O$2,IFERROR(INDEX(PROFORMA!$A:$K,ROW()-1-$L$2-$M$2-$N$2+1,10),""),"")))))</f>
        <v>user_supplied</v>
      </c>
      <c r="K117" s="3">
        <f>IF(ROW()-1&lt;=0,"",IF(ROW()-1&lt;=$L$2,IFERROR(INDEX(MCQ!$A:$K,ROW()-1+1,11),""),IF(ROW()-1&lt;=$L$2+$M$2,IFERROR(INDEX(CLOZE_AB!$A:$K,ROW()-1-$L$2+1,11),""),IF(ROW()-1&lt;=$L$2+$M$2+$N$2,IFERROR(INDEX(CLOZE_LIST!$A:$K,ROW()-1-$L$2-$M$2+1,11),""),IF(ROW()-1&lt;=$L$2+$M$2+$N$2+$O$2,IFERROR(INDEX(PROFORMA!$A:$K,ROW()-1-$L$2-$M$2-$N$2+1,11),""),"")))))</f>
        <v>1</v>
      </c>
      <c r="L117" s="3">
        <f>COUNTA(MCQ!$A:$A)-1</f>
        <v>122</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MCQ_FR_FILE_TAXDEAD_051</v>
      </c>
      <c r="B118" s="3" t="str">
        <f>IF(ROW()-1&lt;=0,"",IF(ROW()-1&lt;=$L$2,IFERROR(INDEX(MCQ!$A:$K,ROW()-1+1,2),""),IF(ROW()-1&lt;=$L$2+$M$2,IFERROR(INDEX(CLOZE_AB!$A:$K,ROW()-1-$L$2+1,2),""),IF(ROW()-1&lt;=$L$2+$M$2+$N$2,IFERROR(INDEX(CLOZE_LIST!$A:$K,ROW()-1-$L$2-$M$2+1,2),""),IF(ROW()-1&lt;=$L$2+$M$2+$N$2+$O$2,IFERROR(INDEX(PROFORMA!$A:$K,ROW()-1-$L$2-$M$2-$N$2+1,2),""),"")))))</f>
        <v>Filing rules</v>
      </c>
      <c r="C118" s="3" t="str">
        <f>IF(ROW()-1&lt;=0,"",IF(ROW()-1&lt;=$L$2,IFERROR(INDEX(MCQ!$A:$K,ROW()-1+1,3),""),IF(ROW()-1&lt;=$L$2+$M$2,IFERROR(INDEX(CLOZE_AB!$A:$K,ROW()-1-$L$2+1,3),""),IF(ROW()-1&lt;=$L$2+$M$2+$N$2,IFERROR(INDEX(CLOZE_LIST!$A:$K,ROW()-1-$L$2-$M$2+1,3),""),IF(ROW()-1&lt;=$L$2+$M$2+$N$2+$O$2,IFERROR(INDEX(PROFORMA!$A:$K,ROW()-1-$L$2-$M$2-$N$2+1,3),""),"")))))</f>
        <v>filing_requirements</v>
      </c>
      <c r="D118" s="3" t="str">
        <f>IF(ROW()-1&lt;=0,"",IF(ROW()-1&lt;=$L$2,IFERROR(INDEX(MCQ!$A:$K,ROW()-1+1,4),""),IF(ROW()-1&lt;=$L$2+$M$2,IFERROR(INDEX(CLOZE_AB!$A:$K,ROW()-1-$L$2+1,4),""),IF(ROW()-1&lt;=$L$2+$M$2+$N$2,IFERROR(INDEX(CLOZE_LIST!$A:$K,ROW()-1-$L$2-$M$2+1,4),""),IF(ROW()-1&lt;=$L$2+$M$2+$N$2+$O$2,IFERROR(INDEX(PROFORMA!$A:$K,ROW()-1-$L$2-$M$2-$N$2+1,4),""),"")))))</f>
        <v>Filing, payment and claims deadlines</v>
      </c>
      <c r="E118" s="3" t="str">
        <f>IF(ROW()-1&lt;=0,"",IF(ROW()-1&lt;=$L$2,IFERROR(INDEX(MCQ!$A:$K,ROW()-1+1,5),""),IF(ROW()-1&lt;=$L$2+$M$2,IFERROR(INDEX(CLOZE_AB!$A:$K,ROW()-1-$L$2+1,5),""),IF(ROW()-1&lt;=$L$2+$M$2+$N$2,IFERROR(INDEX(CLOZE_LIST!$A:$K,ROW()-1-$L$2-$M$2+1,5),""),IF(ROW()-1&lt;=$L$2+$M$2+$N$2+$O$2,IFERROR(INDEX(PROFORMA!$A:$K,ROW()-1-$L$2-$M$2-$N$2+1,5),""),"")))))</f>
        <v>mcq_radio</v>
      </c>
      <c r="F118" s="3">
        <f>IF(ROW()-1&lt;=0,"",IF(ROW()-1&lt;=$L$2,IFERROR(INDEX(MCQ!$A:$K,ROW()-1+1,6),""),IF(ROW()-1&lt;=$L$2+$M$2,IFERROR(INDEX(CLOZE_AB!$A:$K,ROW()-1-$L$2+1,6),""),IF(ROW()-1&lt;=$L$2+$M$2+$N$2,IFERROR(INDEX(CLOZE_LIST!$A:$K,ROW()-1-$L$2-$M$2+1,6),""),IF(ROW()-1&lt;=$L$2+$M$2+$N$2+$O$2,IFERROR(INDEX(PROFORMA!$A:$K,ROW()-1-$L$2-$M$2-$N$2+1,6),""),"")))))</f>
        <v>3</v>
      </c>
      <c r="G118" s="3" t="str">
        <f>IF(ROW()-1&lt;=0,"",IF(ROW()-1&lt;=$L$2,IFERROR(INDEX(MCQ!$A:$K,ROW()-1+1,7),""),IF(ROW()-1&lt;=$L$2+$M$2,IFERROR(INDEX(CLOZE_AB!$A:$K,ROW()-1-$L$2+1,7),""),IF(ROW()-1&lt;=$L$2+$M$2+$N$2,IFERROR(INDEX(CLOZE_LIST!$A:$K,ROW()-1-$L$2-$M$2+1,7),""),IF(ROW()-1&lt;=$L$2+$M$2+$N$2+$O$2,IFERROR(INDEX(PROFORMA!$A:$K,ROW()-1-$L$2-$M$2-$N$2+1,7),""),"")))))</f>
        <v>core</v>
      </c>
      <c r="H118" s="3" t="str">
        <f>IF(ROW()-1&lt;=0,"",IF(ROW()-1&lt;=$L$2,IFERROR(INDEX(MCQ!$A:$K,ROW()-1+1,8),""),IF(ROW()-1&lt;=$L$2+$M$2,IFERROR(INDEX(CLOZE_AB!$A:$K,ROW()-1-$L$2+1,8),""),IF(ROW()-1&lt;=$L$2+$M$2+$N$2,IFERROR(INDEX(CLOZE_LIST!$A:$K,ROW()-1-$L$2-$M$2+1,8),""),IF(ROW()-1&lt;=$L$2+$M$2+$N$2+$O$2,IFERROR(INDEX(PROFORMA!$A:$K,ROW()-1-$L$2-$M$2-$N$2+1,8),""),"")))))</f>
        <v>Y</v>
      </c>
      <c r="I118" s="3" t="str">
        <f>IF(ROW()-1&lt;=0,"",IF(ROW()-1&lt;=$L$2,IFERROR(INDEX(MCQ!$A:$K,ROW()-1+1,9),""),IF(ROW()-1&lt;=$L$2+$M$2,IFERROR(INDEX(CLOZE_AB!$A:$K,ROW()-1-$L$2+1,9),""),IF(ROW()-1&lt;=$L$2+$M$2+$N$2,IFERROR(INDEX(CLOZE_LIST!$A:$K,ROW()-1-$L$2-$M$2+1,9),""),IF(ROW()-1&lt;=$L$2+$M$2+$N$2+$O$2,IFERROR(INDEX(PROFORMA!$A:$K,ROW()-1-$L$2-$M$2-$N$2+1,9),""),"")))))</f>
        <v>deadlines;claims</v>
      </c>
      <c r="J118" s="3" t="str">
        <f>IF(ROW()-1&lt;=0,"",IF(ROW()-1&lt;=$L$2,IFERROR(INDEX(MCQ!$A:$K,ROW()-1+1,10),""),IF(ROW()-1&lt;=$L$2+$M$2,IFERROR(INDEX(CLOZE_AB!$A:$K,ROW()-1-$L$2+1,10),""),IF(ROW()-1&lt;=$L$2+$M$2+$N$2,IFERROR(INDEX(CLOZE_LIST!$A:$K,ROW()-1-$L$2-$M$2+1,10),""),IF(ROW()-1&lt;=$L$2+$M$2+$N$2+$O$2,IFERROR(INDEX(PROFORMA!$A:$K,ROW()-1-$L$2-$M$2-$N$2+1,10),""),"")))))</f>
        <v>user_supplied</v>
      </c>
      <c r="K118" s="3">
        <f>IF(ROW()-1&lt;=0,"",IF(ROW()-1&lt;=$L$2,IFERROR(INDEX(MCQ!$A:$K,ROW()-1+1,11),""),IF(ROW()-1&lt;=$L$2+$M$2,IFERROR(INDEX(CLOZE_AB!$A:$K,ROW()-1-$L$2+1,11),""),IF(ROW()-1&lt;=$L$2+$M$2+$N$2,IFERROR(INDEX(CLOZE_LIST!$A:$K,ROW()-1-$L$2-$M$2+1,11),""),IF(ROW()-1&lt;=$L$2+$M$2+$N$2+$O$2,IFERROR(INDEX(PROFORMA!$A:$K,ROW()-1-$L$2-$M$2-$N$2+1,11),""),"")))))</f>
        <v>1</v>
      </c>
      <c r="L118" s="3">
        <f>COUNTA(MCQ!$A:$A)-1</f>
        <v>122</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MCQ_FR_FILE_TAXDEAD_052</v>
      </c>
      <c r="B119" s="3" t="str">
        <f>IF(ROW()-1&lt;=0,"",IF(ROW()-1&lt;=$L$2,IFERROR(INDEX(MCQ!$A:$K,ROW()-1+1,2),""),IF(ROW()-1&lt;=$L$2+$M$2,IFERROR(INDEX(CLOZE_AB!$A:$K,ROW()-1-$L$2+1,2),""),IF(ROW()-1&lt;=$L$2+$M$2+$N$2,IFERROR(INDEX(CLOZE_LIST!$A:$K,ROW()-1-$L$2-$M$2+1,2),""),IF(ROW()-1&lt;=$L$2+$M$2+$N$2+$O$2,IFERROR(INDEX(PROFORMA!$A:$K,ROW()-1-$L$2-$M$2-$N$2+1,2),""),"")))))</f>
        <v>Filing rules</v>
      </c>
      <c r="C119" s="3" t="str">
        <f>IF(ROW()-1&lt;=0,"",IF(ROW()-1&lt;=$L$2,IFERROR(INDEX(MCQ!$A:$K,ROW()-1+1,3),""),IF(ROW()-1&lt;=$L$2+$M$2,IFERROR(INDEX(CLOZE_AB!$A:$K,ROW()-1-$L$2+1,3),""),IF(ROW()-1&lt;=$L$2+$M$2+$N$2,IFERROR(INDEX(CLOZE_LIST!$A:$K,ROW()-1-$L$2-$M$2+1,3),""),IF(ROW()-1&lt;=$L$2+$M$2+$N$2+$O$2,IFERROR(INDEX(PROFORMA!$A:$K,ROW()-1-$L$2-$M$2-$N$2+1,3),""),"")))))</f>
        <v>filing_requirements</v>
      </c>
      <c r="D119" s="3" t="str">
        <f>IF(ROW()-1&lt;=0,"",IF(ROW()-1&lt;=$L$2,IFERROR(INDEX(MCQ!$A:$K,ROW()-1+1,4),""),IF(ROW()-1&lt;=$L$2+$M$2,IFERROR(INDEX(CLOZE_AB!$A:$K,ROW()-1-$L$2+1,4),""),IF(ROW()-1&lt;=$L$2+$M$2+$N$2,IFERROR(INDEX(CLOZE_LIST!$A:$K,ROW()-1-$L$2-$M$2+1,4),""),IF(ROW()-1&lt;=$L$2+$M$2+$N$2+$O$2,IFERROR(INDEX(PROFORMA!$A:$K,ROW()-1-$L$2-$M$2-$N$2+1,4),""),"")))))</f>
        <v>Filing, payment and claims deadlines</v>
      </c>
      <c r="E119" s="3" t="str">
        <f>IF(ROW()-1&lt;=0,"",IF(ROW()-1&lt;=$L$2,IFERROR(INDEX(MCQ!$A:$K,ROW()-1+1,5),""),IF(ROW()-1&lt;=$L$2+$M$2,IFERROR(INDEX(CLOZE_AB!$A:$K,ROW()-1-$L$2+1,5),""),IF(ROW()-1&lt;=$L$2+$M$2+$N$2,IFERROR(INDEX(CLOZE_LIST!$A:$K,ROW()-1-$L$2-$M$2+1,5),""),IF(ROW()-1&lt;=$L$2+$M$2+$N$2+$O$2,IFERROR(INDEX(PROFORMA!$A:$K,ROW()-1-$L$2-$M$2-$N$2+1,5),""),"")))))</f>
        <v>mcq_radio</v>
      </c>
      <c r="F119" s="3">
        <f>IF(ROW()-1&lt;=0,"",IF(ROW()-1&lt;=$L$2,IFERROR(INDEX(MCQ!$A:$K,ROW()-1+1,6),""),IF(ROW()-1&lt;=$L$2+$M$2,IFERROR(INDEX(CLOZE_AB!$A:$K,ROW()-1-$L$2+1,6),""),IF(ROW()-1&lt;=$L$2+$M$2+$N$2,IFERROR(INDEX(CLOZE_LIST!$A:$K,ROW()-1-$L$2-$M$2+1,6),""),IF(ROW()-1&lt;=$L$2+$M$2+$N$2+$O$2,IFERROR(INDEX(PROFORMA!$A:$K,ROW()-1-$L$2-$M$2-$N$2+1,6),""),"")))))</f>
        <v>3</v>
      </c>
      <c r="G119" s="3" t="str">
        <f>IF(ROW()-1&lt;=0,"",IF(ROW()-1&lt;=$L$2,IFERROR(INDEX(MCQ!$A:$K,ROW()-1+1,7),""),IF(ROW()-1&lt;=$L$2+$M$2,IFERROR(INDEX(CLOZE_AB!$A:$K,ROW()-1-$L$2+1,7),""),IF(ROW()-1&lt;=$L$2+$M$2+$N$2,IFERROR(INDEX(CLOZE_LIST!$A:$K,ROW()-1-$L$2-$M$2+1,7),""),IF(ROW()-1&lt;=$L$2+$M$2+$N$2+$O$2,IFERROR(INDEX(PROFORMA!$A:$K,ROW()-1-$L$2-$M$2-$N$2+1,7),""),"")))))</f>
        <v>core</v>
      </c>
      <c r="H119" s="3" t="str">
        <f>IF(ROW()-1&lt;=0,"",IF(ROW()-1&lt;=$L$2,IFERROR(INDEX(MCQ!$A:$K,ROW()-1+1,8),""),IF(ROW()-1&lt;=$L$2+$M$2,IFERROR(INDEX(CLOZE_AB!$A:$K,ROW()-1-$L$2+1,8),""),IF(ROW()-1&lt;=$L$2+$M$2+$N$2,IFERROR(INDEX(CLOZE_LIST!$A:$K,ROW()-1-$L$2-$M$2+1,8),""),IF(ROW()-1&lt;=$L$2+$M$2+$N$2+$O$2,IFERROR(INDEX(PROFORMA!$A:$K,ROW()-1-$L$2-$M$2-$N$2+1,8),""),"")))))</f>
        <v>Y</v>
      </c>
      <c r="I119" s="3" t="str">
        <f>IF(ROW()-1&lt;=0,"",IF(ROW()-1&lt;=$L$2,IFERROR(INDEX(MCQ!$A:$K,ROW()-1+1,9),""),IF(ROW()-1&lt;=$L$2+$M$2,IFERROR(INDEX(CLOZE_AB!$A:$K,ROW()-1-$L$2+1,9),""),IF(ROW()-1&lt;=$L$2+$M$2+$N$2,IFERROR(INDEX(CLOZE_LIST!$A:$K,ROW()-1-$L$2-$M$2+1,9),""),IF(ROW()-1&lt;=$L$2+$M$2+$N$2+$O$2,IFERROR(INDEX(PROFORMA!$A:$K,ROW()-1-$L$2-$M$2-$N$2+1,9),""),"")))))</f>
        <v>deadlines;claims</v>
      </c>
      <c r="J119" s="3" t="str">
        <f>IF(ROW()-1&lt;=0,"",IF(ROW()-1&lt;=$L$2,IFERROR(INDEX(MCQ!$A:$K,ROW()-1+1,10),""),IF(ROW()-1&lt;=$L$2+$M$2,IFERROR(INDEX(CLOZE_AB!$A:$K,ROW()-1-$L$2+1,10),""),IF(ROW()-1&lt;=$L$2+$M$2+$N$2,IFERROR(INDEX(CLOZE_LIST!$A:$K,ROW()-1-$L$2-$M$2+1,10),""),IF(ROW()-1&lt;=$L$2+$M$2+$N$2+$O$2,IFERROR(INDEX(PROFORMA!$A:$K,ROW()-1-$L$2-$M$2-$N$2+1,10),""),"")))))</f>
        <v>user_supplied</v>
      </c>
      <c r="K119" s="3">
        <f>IF(ROW()-1&lt;=0,"",IF(ROW()-1&lt;=$L$2,IFERROR(INDEX(MCQ!$A:$K,ROW()-1+1,11),""),IF(ROW()-1&lt;=$L$2+$M$2,IFERROR(INDEX(CLOZE_AB!$A:$K,ROW()-1-$L$2+1,11),""),IF(ROW()-1&lt;=$L$2+$M$2+$N$2,IFERROR(INDEX(CLOZE_LIST!$A:$K,ROW()-1-$L$2-$M$2+1,11),""),IF(ROW()-1&lt;=$L$2+$M$2+$N$2+$O$2,IFERROR(INDEX(PROFORMA!$A:$K,ROW()-1-$L$2-$M$2-$N$2+1,11),""),"")))))</f>
        <v>1</v>
      </c>
      <c r="L119" s="3">
        <f>COUNTA(MCQ!$A:$A)-1</f>
        <v>122</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MCQ_FR_FILE_TAXDEAD_053</v>
      </c>
      <c r="B120" s="3" t="str">
        <f>IF(ROW()-1&lt;=0,"",IF(ROW()-1&lt;=$L$2,IFERROR(INDEX(MCQ!$A:$K,ROW()-1+1,2),""),IF(ROW()-1&lt;=$L$2+$M$2,IFERROR(INDEX(CLOZE_AB!$A:$K,ROW()-1-$L$2+1,2),""),IF(ROW()-1&lt;=$L$2+$M$2+$N$2,IFERROR(INDEX(CLOZE_LIST!$A:$K,ROW()-1-$L$2-$M$2+1,2),""),IF(ROW()-1&lt;=$L$2+$M$2+$N$2+$O$2,IFERROR(INDEX(PROFORMA!$A:$K,ROW()-1-$L$2-$M$2-$N$2+1,2),""),"")))))</f>
        <v>Filing rules</v>
      </c>
      <c r="C120" s="3" t="str">
        <f>IF(ROW()-1&lt;=0,"",IF(ROW()-1&lt;=$L$2,IFERROR(INDEX(MCQ!$A:$K,ROW()-1+1,3),""),IF(ROW()-1&lt;=$L$2+$M$2,IFERROR(INDEX(CLOZE_AB!$A:$K,ROW()-1-$L$2+1,3),""),IF(ROW()-1&lt;=$L$2+$M$2+$N$2,IFERROR(INDEX(CLOZE_LIST!$A:$K,ROW()-1-$L$2-$M$2+1,3),""),IF(ROW()-1&lt;=$L$2+$M$2+$N$2+$O$2,IFERROR(INDEX(PROFORMA!$A:$K,ROW()-1-$L$2-$M$2-$N$2+1,3),""),"")))))</f>
        <v>filing_requirements</v>
      </c>
      <c r="D120" s="3" t="str">
        <f>IF(ROW()-1&lt;=0,"",IF(ROW()-1&lt;=$L$2,IFERROR(INDEX(MCQ!$A:$K,ROW()-1+1,4),""),IF(ROW()-1&lt;=$L$2+$M$2,IFERROR(INDEX(CLOZE_AB!$A:$K,ROW()-1-$L$2+1,4),""),IF(ROW()-1&lt;=$L$2+$M$2+$N$2,IFERROR(INDEX(CLOZE_LIST!$A:$K,ROW()-1-$L$2-$M$2+1,4),""),IF(ROW()-1&lt;=$L$2+$M$2+$N$2+$O$2,IFERROR(INDEX(PROFORMA!$A:$K,ROW()-1-$L$2-$M$2-$N$2+1,4),""),"")))))</f>
        <v>Filing, payment and claims deadlines</v>
      </c>
      <c r="E120" s="3" t="str">
        <f>IF(ROW()-1&lt;=0,"",IF(ROW()-1&lt;=$L$2,IFERROR(INDEX(MCQ!$A:$K,ROW()-1+1,5),""),IF(ROW()-1&lt;=$L$2+$M$2,IFERROR(INDEX(CLOZE_AB!$A:$K,ROW()-1-$L$2+1,5),""),IF(ROW()-1&lt;=$L$2+$M$2+$N$2,IFERROR(INDEX(CLOZE_LIST!$A:$K,ROW()-1-$L$2-$M$2+1,5),""),IF(ROW()-1&lt;=$L$2+$M$2+$N$2+$O$2,IFERROR(INDEX(PROFORMA!$A:$K,ROW()-1-$L$2-$M$2-$N$2+1,5),""),"")))))</f>
        <v>mcq_radio</v>
      </c>
      <c r="F120" s="3">
        <f>IF(ROW()-1&lt;=0,"",IF(ROW()-1&lt;=$L$2,IFERROR(INDEX(MCQ!$A:$K,ROW()-1+1,6),""),IF(ROW()-1&lt;=$L$2+$M$2,IFERROR(INDEX(CLOZE_AB!$A:$K,ROW()-1-$L$2+1,6),""),IF(ROW()-1&lt;=$L$2+$M$2+$N$2,IFERROR(INDEX(CLOZE_LIST!$A:$K,ROW()-1-$L$2-$M$2+1,6),""),IF(ROW()-1&lt;=$L$2+$M$2+$N$2+$O$2,IFERROR(INDEX(PROFORMA!$A:$K,ROW()-1-$L$2-$M$2-$N$2+1,6),""),"")))))</f>
        <v>3</v>
      </c>
      <c r="G120" s="3" t="str">
        <f>IF(ROW()-1&lt;=0,"",IF(ROW()-1&lt;=$L$2,IFERROR(INDEX(MCQ!$A:$K,ROW()-1+1,7),""),IF(ROW()-1&lt;=$L$2+$M$2,IFERROR(INDEX(CLOZE_AB!$A:$K,ROW()-1-$L$2+1,7),""),IF(ROW()-1&lt;=$L$2+$M$2+$N$2,IFERROR(INDEX(CLOZE_LIST!$A:$K,ROW()-1-$L$2-$M$2+1,7),""),IF(ROW()-1&lt;=$L$2+$M$2+$N$2+$O$2,IFERROR(INDEX(PROFORMA!$A:$K,ROW()-1-$L$2-$M$2-$N$2+1,7),""),"")))))</f>
        <v>core</v>
      </c>
      <c r="H120" s="3" t="str">
        <f>IF(ROW()-1&lt;=0,"",IF(ROW()-1&lt;=$L$2,IFERROR(INDEX(MCQ!$A:$K,ROW()-1+1,8),""),IF(ROW()-1&lt;=$L$2+$M$2,IFERROR(INDEX(CLOZE_AB!$A:$K,ROW()-1-$L$2+1,8),""),IF(ROW()-1&lt;=$L$2+$M$2+$N$2,IFERROR(INDEX(CLOZE_LIST!$A:$K,ROW()-1-$L$2-$M$2+1,8),""),IF(ROW()-1&lt;=$L$2+$M$2+$N$2+$O$2,IFERROR(INDEX(PROFORMA!$A:$K,ROW()-1-$L$2-$M$2-$N$2+1,8),""),"")))))</f>
        <v>Y</v>
      </c>
      <c r="I120" s="3" t="str">
        <f>IF(ROW()-1&lt;=0,"",IF(ROW()-1&lt;=$L$2,IFERROR(INDEX(MCQ!$A:$K,ROW()-1+1,9),""),IF(ROW()-1&lt;=$L$2+$M$2,IFERROR(INDEX(CLOZE_AB!$A:$K,ROW()-1-$L$2+1,9),""),IF(ROW()-1&lt;=$L$2+$M$2+$N$2,IFERROR(INDEX(CLOZE_LIST!$A:$K,ROW()-1-$L$2-$M$2+1,9),""),IF(ROW()-1&lt;=$L$2+$M$2+$N$2+$O$2,IFERROR(INDEX(PROFORMA!$A:$K,ROW()-1-$L$2-$M$2-$N$2+1,9),""),"")))))</f>
        <v>deadlines;claims</v>
      </c>
      <c r="J120" s="3" t="str">
        <f>IF(ROW()-1&lt;=0,"",IF(ROW()-1&lt;=$L$2,IFERROR(INDEX(MCQ!$A:$K,ROW()-1+1,10),""),IF(ROW()-1&lt;=$L$2+$M$2,IFERROR(INDEX(CLOZE_AB!$A:$K,ROW()-1-$L$2+1,10),""),IF(ROW()-1&lt;=$L$2+$M$2+$N$2,IFERROR(INDEX(CLOZE_LIST!$A:$K,ROW()-1-$L$2-$M$2+1,10),""),IF(ROW()-1&lt;=$L$2+$M$2+$N$2+$O$2,IFERROR(INDEX(PROFORMA!$A:$K,ROW()-1-$L$2-$M$2-$N$2+1,10),""),"")))))</f>
        <v>user_supplied</v>
      </c>
      <c r="K120" s="3">
        <f>IF(ROW()-1&lt;=0,"",IF(ROW()-1&lt;=$L$2,IFERROR(INDEX(MCQ!$A:$K,ROW()-1+1,11),""),IF(ROW()-1&lt;=$L$2+$M$2,IFERROR(INDEX(CLOZE_AB!$A:$K,ROW()-1-$L$2+1,11),""),IF(ROW()-1&lt;=$L$2+$M$2+$N$2,IFERROR(INDEX(CLOZE_LIST!$A:$K,ROW()-1-$L$2-$M$2+1,11),""),IF(ROW()-1&lt;=$L$2+$M$2+$N$2+$O$2,IFERROR(INDEX(PROFORMA!$A:$K,ROW()-1-$L$2-$M$2-$N$2+1,11),""),"")))))</f>
        <v>1</v>
      </c>
      <c r="L120" s="3">
        <f>COUNTA(MCQ!$A:$A)-1</f>
        <v>122</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MCQ_FR_FILE_TAXDEAD_054</v>
      </c>
      <c r="B121" s="3" t="str">
        <f>IF(ROW()-1&lt;=0,"",IF(ROW()-1&lt;=$L$2,IFERROR(INDEX(MCQ!$A:$K,ROW()-1+1,2),""),IF(ROW()-1&lt;=$L$2+$M$2,IFERROR(INDEX(CLOZE_AB!$A:$K,ROW()-1-$L$2+1,2),""),IF(ROW()-1&lt;=$L$2+$M$2+$N$2,IFERROR(INDEX(CLOZE_LIST!$A:$K,ROW()-1-$L$2-$M$2+1,2),""),IF(ROW()-1&lt;=$L$2+$M$2+$N$2+$O$2,IFERROR(INDEX(PROFORMA!$A:$K,ROW()-1-$L$2-$M$2-$N$2+1,2),""),"")))))</f>
        <v>Filing rules</v>
      </c>
      <c r="C121" s="3" t="str">
        <f>IF(ROW()-1&lt;=0,"",IF(ROW()-1&lt;=$L$2,IFERROR(INDEX(MCQ!$A:$K,ROW()-1+1,3),""),IF(ROW()-1&lt;=$L$2+$M$2,IFERROR(INDEX(CLOZE_AB!$A:$K,ROW()-1-$L$2+1,3),""),IF(ROW()-1&lt;=$L$2+$M$2+$N$2,IFERROR(INDEX(CLOZE_LIST!$A:$K,ROW()-1-$L$2-$M$2+1,3),""),IF(ROW()-1&lt;=$L$2+$M$2+$N$2+$O$2,IFERROR(INDEX(PROFORMA!$A:$K,ROW()-1-$L$2-$M$2-$N$2+1,3),""),"")))))</f>
        <v>filing_requirements</v>
      </c>
      <c r="D121" s="3" t="str">
        <f>IF(ROW()-1&lt;=0,"",IF(ROW()-1&lt;=$L$2,IFERROR(INDEX(MCQ!$A:$K,ROW()-1+1,4),""),IF(ROW()-1&lt;=$L$2+$M$2,IFERROR(INDEX(CLOZE_AB!$A:$K,ROW()-1-$L$2+1,4),""),IF(ROW()-1&lt;=$L$2+$M$2+$N$2,IFERROR(INDEX(CLOZE_LIST!$A:$K,ROW()-1-$L$2-$M$2+1,4),""),IF(ROW()-1&lt;=$L$2+$M$2+$N$2+$O$2,IFERROR(INDEX(PROFORMA!$A:$K,ROW()-1-$L$2-$M$2-$N$2+1,4),""),"")))))</f>
        <v>Filing, payment and claims deadlines</v>
      </c>
      <c r="E121" s="3" t="str">
        <f>IF(ROW()-1&lt;=0,"",IF(ROW()-1&lt;=$L$2,IFERROR(INDEX(MCQ!$A:$K,ROW()-1+1,5),""),IF(ROW()-1&lt;=$L$2+$M$2,IFERROR(INDEX(CLOZE_AB!$A:$K,ROW()-1-$L$2+1,5),""),IF(ROW()-1&lt;=$L$2+$M$2+$N$2,IFERROR(INDEX(CLOZE_LIST!$A:$K,ROW()-1-$L$2-$M$2+1,5),""),IF(ROW()-1&lt;=$L$2+$M$2+$N$2+$O$2,IFERROR(INDEX(PROFORMA!$A:$K,ROW()-1-$L$2-$M$2-$N$2+1,5),""),"")))))</f>
        <v>mcq_radio</v>
      </c>
      <c r="F121" s="3">
        <f>IF(ROW()-1&lt;=0,"",IF(ROW()-1&lt;=$L$2,IFERROR(INDEX(MCQ!$A:$K,ROW()-1+1,6),""),IF(ROW()-1&lt;=$L$2+$M$2,IFERROR(INDEX(CLOZE_AB!$A:$K,ROW()-1-$L$2+1,6),""),IF(ROW()-1&lt;=$L$2+$M$2+$N$2,IFERROR(INDEX(CLOZE_LIST!$A:$K,ROW()-1-$L$2-$M$2+1,6),""),IF(ROW()-1&lt;=$L$2+$M$2+$N$2+$O$2,IFERROR(INDEX(PROFORMA!$A:$K,ROW()-1-$L$2-$M$2-$N$2+1,6),""),"")))))</f>
        <v>3</v>
      </c>
      <c r="G121" s="3" t="str">
        <f>IF(ROW()-1&lt;=0,"",IF(ROW()-1&lt;=$L$2,IFERROR(INDEX(MCQ!$A:$K,ROW()-1+1,7),""),IF(ROW()-1&lt;=$L$2+$M$2,IFERROR(INDEX(CLOZE_AB!$A:$K,ROW()-1-$L$2+1,7),""),IF(ROW()-1&lt;=$L$2+$M$2+$N$2,IFERROR(INDEX(CLOZE_LIST!$A:$K,ROW()-1-$L$2-$M$2+1,7),""),IF(ROW()-1&lt;=$L$2+$M$2+$N$2+$O$2,IFERROR(INDEX(PROFORMA!$A:$K,ROW()-1-$L$2-$M$2-$N$2+1,7),""),"")))))</f>
        <v>core</v>
      </c>
      <c r="H121" s="3" t="str">
        <f>IF(ROW()-1&lt;=0,"",IF(ROW()-1&lt;=$L$2,IFERROR(INDEX(MCQ!$A:$K,ROW()-1+1,8),""),IF(ROW()-1&lt;=$L$2+$M$2,IFERROR(INDEX(CLOZE_AB!$A:$K,ROW()-1-$L$2+1,8),""),IF(ROW()-1&lt;=$L$2+$M$2+$N$2,IFERROR(INDEX(CLOZE_LIST!$A:$K,ROW()-1-$L$2-$M$2+1,8),""),IF(ROW()-1&lt;=$L$2+$M$2+$N$2+$O$2,IFERROR(INDEX(PROFORMA!$A:$K,ROW()-1-$L$2-$M$2-$N$2+1,8),""),"")))))</f>
        <v>Y</v>
      </c>
      <c r="I121" s="3" t="str">
        <f>IF(ROW()-1&lt;=0,"",IF(ROW()-1&lt;=$L$2,IFERROR(INDEX(MCQ!$A:$K,ROW()-1+1,9),""),IF(ROW()-1&lt;=$L$2+$M$2,IFERROR(INDEX(CLOZE_AB!$A:$K,ROW()-1-$L$2+1,9),""),IF(ROW()-1&lt;=$L$2+$M$2+$N$2,IFERROR(INDEX(CLOZE_LIST!$A:$K,ROW()-1-$L$2-$M$2+1,9),""),IF(ROW()-1&lt;=$L$2+$M$2+$N$2+$O$2,IFERROR(INDEX(PROFORMA!$A:$K,ROW()-1-$L$2-$M$2-$N$2+1,9),""),"")))))</f>
        <v>deadlines;claims</v>
      </c>
      <c r="J121" s="3" t="str">
        <f>IF(ROW()-1&lt;=0,"",IF(ROW()-1&lt;=$L$2,IFERROR(INDEX(MCQ!$A:$K,ROW()-1+1,10),""),IF(ROW()-1&lt;=$L$2+$M$2,IFERROR(INDEX(CLOZE_AB!$A:$K,ROW()-1-$L$2+1,10),""),IF(ROW()-1&lt;=$L$2+$M$2+$N$2,IFERROR(INDEX(CLOZE_LIST!$A:$K,ROW()-1-$L$2-$M$2+1,10),""),IF(ROW()-1&lt;=$L$2+$M$2+$N$2+$O$2,IFERROR(INDEX(PROFORMA!$A:$K,ROW()-1-$L$2-$M$2-$N$2+1,10),""),"")))))</f>
        <v>user_supplied</v>
      </c>
      <c r="K121" s="3">
        <f>IF(ROW()-1&lt;=0,"",IF(ROW()-1&lt;=$L$2,IFERROR(INDEX(MCQ!$A:$K,ROW()-1+1,11),""),IF(ROW()-1&lt;=$L$2+$M$2,IFERROR(INDEX(CLOZE_AB!$A:$K,ROW()-1-$L$2+1,11),""),IF(ROW()-1&lt;=$L$2+$M$2+$N$2,IFERROR(INDEX(CLOZE_LIST!$A:$K,ROW()-1-$L$2-$M$2+1,11),""),IF(ROW()-1&lt;=$L$2+$M$2+$N$2+$O$2,IFERROR(INDEX(PROFORMA!$A:$K,ROW()-1-$L$2-$M$2-$N$2+1,11),""),"")))))</f>
        <v>1</v>
      </c>
      <c r="L121" s="3">
        <f>COUNTA(MCQ!$A:$A)-1</f>
        <v>122</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MCQ_FR_FILE_TAXDEAD_055</v>
      </c>
      <c r="B122" s="3" t="str">
        <f>IF(ROW()-1&lt;=0,"",IF(ROW()-1&lt;=$L$2,IFERROR(INDEX(MCQ!$A:$K,ROW()-1+1,2),""),IF(ROW()-1&lt;=$L$2+$M$2,IFERROR(INDEX(CLOZE_AB!$A:$K,ROW()-1-$L$2+1,2),""),IF(ROW()-1&lt;=$L$2+$M$2+$N$2,IFERROR(INDEX(CLOZE_LIST!$A:$K,ROW()-1-$L$2-$M$2+1,2),""),IF(ROW()-1&lt;=$L$2+$M$2+$N$2+$O$2,IFERROR(INDEX(PROFORMA!$A:$K,ROW()-1-$L$2-$M$2-$N$2+1,2),""),"")))))</f>
        <v>Filing rules</v>
      </c>
      <c r="C122" s="3" t="str">
        <f>IF(ROW()-1&lt;=0,"",IF(ROW()-1&lt;=$L$2,IFERROR(INDEX(MCQ!$A:$K,ROW()-1+1,3),""),IF(ROW()-1&lt;=$L$2+$M$2,IFERROR(INDEX(CLOZE_AB!$A:$K,ROW()-1-$L$2+1,3),""),IF(ROW()-1&lt;=$L$2+$M$2+$N$2,IFERROR(INDEX(CLOZE_LIST!$A:$K,ROW()-1-$L$2-$M$2+1,3),""),IF(ROW()-1&lt;=$L$2+$M$2+$N$2+$O$2,IFERROR(INDEX(PROFORMA!$A:$K,ROW()-1-$L$2-$M$2-$N$2+1,3),""),"")))))</f>
        <v>filing_requirements</v>
      </c>
      <c r="D122" s="3" t="str">
        <f>IF(ROW()-1&lt;=0,"",IF(ROW()-1&lt;=$L$2,IFERROR(INDEX(MCQ!$A:$K,ROW()-1+1,4),""),IF(ROW()-1&lt;=$L$2+$M$2,IFERROR(INDEX(CLOZE_AB!$A:$K,ROW()-1-$L$2+1,4),""),IF(ROW()-1&lt;=$L$2+$M$2+$N$2,IFERROR(INDEX(CLOZE_LIST!$A:$K,ROW()-1-$L$2-$M$2+1,4),""),IF(ROW()-1&lt;=$L$2+$M$2+$N$2+$O$2,IFERROR(INDEX(PROFORMA!$A:$K,ROW()-1-$L$2-$M$2-$N$2+1,4),""),"")))))</f>
        <v>Filing, payment and claims deadlines</v>
      </c>
      <c r="E122" s="3" t="str">
        <f>IF(ROW()-1&lt;=0,"",IF(ROW()-1&lt;=$L$2,IFERROR(INDEX(MCQ!$A:$K,ROW()-1+1,5),""),IF(ROW()-1&lt;=$L$2+$M$2,IFERROR(INDEX(CLOZE_AB!$A:$K,ROW()-1-$L$2+1,5),""),IF(ROW()-1&lt;=$L$2+$M$2+$N$2,IFERROR(INDEX(CLOZE_LIST!$A:$K,ROW()-1-$L$2-$M$2+1,5),""),IF(ROW()-1&lt;=$L$2+$M$2+$N$2+$O$2,IFERROR(INDEX(PROFORMA!$A:$K,ROW()-1-$L$2-$M$2-$N$2+1,5),""),"")))))</f>
        <v>mcq_radio</v>
      </c>
      <c r="F122" s="3">
        <f>IF(ROW()-1&lt;=0,"",IF(ROW()-1&lt;=$L$2,IFERROR(INDEX(MCQ!$A:$K,ROW()-1+1,6),""),IF(ROW()-1&lt;=$L$2+$M$2,IFERROR(INDEX(CLOZE_AB!$A:$K,ROW()-1-$L$2+1,6),""),IF(ROW()-1&lt;=$L$2+$M$2+$N$2,IFERROR(INDEX(CLOZE_LIST!$A:$K,ROW()-1-$L$2-$M$2+1,6),""),IF(ROW()-1&lt;=$L$2+$M$2+$N$2+$O$2,IFERROR(INDEX(PROFORMA!$A:$K,ROW()-1-$L$2-$M$2-$N$2+1,6),""),"")))))</f>
        <v>3</v>
      </c>
      <c r="G122" s="3" t="str">
        <f>IF(ROW()-1&lt;=0,"",IF(ROW()-1&lt;=$L$2,IFERROR(INDEX(MCQ!$A:$K,ROW()-1+1,7),""),IF(ROW()-1&lt;=$L$2+$M$2,IFERROR(INDEX(CLOZE_AB!$A:$K,ROW()-1-$L$2+1,7),""),IF(ROW()-1&lt;=$L$2+$M$2+$N$2,IFERROR(INDEX(CLOZE_LIST!$A:$K,ROW()-1-$L$2-$M$2+1,7),""),IF(ROW()-1&lt;=$L$2+$M$2+$N$2+$O$2,IFERROR(INDEX(PROFORMA!$A:$K,ROW()-1-$L$2-$M$2-$N$2+1,7),""),"")))))</f>
        <v>core</v>
      </c>
      <c r="H122" s="3" t="str">
        <f>IF(ROW()-1&lt;=0,"",IF(ROW()-1&lt;=$L$2,IFERROR(INDEX(MCQ!$A:$K,ROW()-1+1,8),""),IF(ROW()-1&lt;=$L$2+$M$2,IFERROR(INDEX(CLOZE_AB!$A:$K,ROW()-1-$L$2+1,8),""),IF(ROW()-1&lt;=$L$2+$M$2+$N$2,IFERROR(INDEX(CLOZE_LIST!$A:$K,ROW()-1-$L$2-$M$2+1,8),""),IF(ROW()-1&lt;=$L$2+$M$2+$N$2+$O$2,IFERROR(INDEX(PROFORMA!$A:$K,ROW()-1-$L$2-$M$2-$N$2+1,8),""),"")))))</f>
        <v>Y</v>
      </c>
      <c r="I122" s="3" t="str">
        <f>IF(ROW()-1&lt;=0,"",IF(ROW()-1&lt;=$L$2,IFERROR(INDEX(MCQ!$A:$K,ROW()-1+1,9),""),IF(ROW()-1&lt;=$L$2+$M$2,IFERROR(INDEX(CLOZE_AB!$A:$K,ROW()-1-$L$2+1,9),""),IF(ROW()-1&lt;=$L$2+$M$2+$N$2,IFERROR(INDEX(CLOZE_LIST!$A:$K,ROW()-1-$L$2-$M$2+1,9),""),IF(ROW()-1&lt;=$L$2+$M$2+$N$2+$O$2,IFERROR(INDEX(PROFORMA!$A:$K,ROW()-1-$L$2-$M$2-$N$2+1,9),""),"")))))</f>
        <v>deadlines;claims</v>
      </c>
      <c r="J122" s="3" t="str">
        <f>IF(ROW()-1&lt;=0,"",IF(ROW()-1&lt;=$L$2,IFERROR(INDEX(MCQ!$A:$K,ROW()-1+1,10),""),IF(ROW()-1&lt;=$L$2+$M$2,IFERROR(INDEX(CLOZE_AB!$A:$K,ROW()-1-$L$2+1,10),""),IF(ROW()-1&lt;=$L$2+$M$2+$N$2,IFERROR(INDEX(CLOZE_LIST!$A:$K,ROW()-1-$L$2-$M$2+1,10),""),IF(ROW()-1&lt;=$L$2+$M$2+$N$2+$O$2,IFERROR(INDEX(PROFORMA!$A:$K,ROW()-1-$L$2-$M$2-$N$2+1,10),""),"")))))</f>
        <v>user_supplied</v>
      </c>
      <c r="K122" s="3">
        <f>IF(ROW()-1&lt;=0,"",IF(ROW()-1&lt;=$L$2,IFERROR(INDEX(MCQ!$A:$K,ROW()-1+1,11),""),IF(ROW()-1&lt;=$L$2+$M$2,IFERROR(INDEX(CLOZE_AB!$A:$K,ROW()-1-$L$2+1,11),""),IF(ROW()-1&lt;=$L$2+$M$2+$N$2,IFERROR(INDEX(CLOZE_LIST!$A:$K,ROW()-1-$L$2-$M$2+1,11),""),IF(ROW()-1&lt;=$L$2+$M$2+$N$2+$O$2,IFERROR(INDEX(PROFORMA!$A:$K,ROW()-1-$L$2-$M$2-$N$2+1,11),""),"")))))</f>
        <v>1</v>
      </c>
      <c r="L122" s="3">
        <f>COUNTA(MCQ!$A:$A)-1</f>
        <v>122</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MCQ_FR_FILE_TAXDEAD_056</v>
      </c>
      <c r="B123" s="3" t="str">
        <f>IF(ROW()-1&lt;=0,"",IF(ROW()-1&lt;=$L$2,IFERROR(INDEX(MCQ!$A:$K,ROW()-1+1,2),""),IF(ROW()-1&lt;=$L$2+$M$2,IFERROR(INDEX(CLOZE_AB!$A:$K,ROW()-1-$L$2+1,2),""),IF(ROW()-1&lt;=$L$2+$M$2+$N$2,IFERROR(INDEX(CLOZE_LIST!$A:$K,ROW()-1-$L$2-$M$2+1,2),""),IF(ROW()-1&lt;=$L$2+$M$2+$N$2+$O$2,IFERROR(INDEX(PROFORMA!$A:$K,ROW()-1-$L$2-$M$2-$N$2+1,2),""),"")))))</f>
        <v>Filing rules</v>
      </c>
      <c r="C123" s="3" t="str">
        <f>IF(ROW()-1&lt;=0,"",IF(ROW()-1&lt;=$L$2,IFERROR(INDEX(MCQ!$A:$K,ROW()-1+1,3),""),IF(ROW()-1&lt;=$L$2+$M$2,IFERROR(INDEX(CLOZE_AB!$A:$K,ROW()-1-$L$2+1,3),""),IF(ROW()-1&lt;=$L$2+$M$2+$N$2,IFERROR(INDEX(CLOZE_LIST!$A:$K,ROW()-1-$L$2-$M$2+1,3),""),IF(ROW()-1&lt;=$L$2+$M$2+$N$2+$O$2,IFERROR(INDEX(PROFORMA!$A:$K,ROW()-1-$L$2-$M$2-$N$2+1,3),""),"")))))</f>
        <v>filing_requirements</v>
      </c>
      <c r="D123" s="3" t="str">
        <f>IF(ROW()-1&lt;=0,"",IF(ROW()-1&lt;=$L$2,IFERROR(INDEX(MCQ!$A:$K,ROW()-1+1,4),""),IF(ROW()-1&lt;=$L$2+$M$2,IFERROR(INDEX(CLOZE_AB!$A:$K,ROW()-1-$L$2+1,4),""),IF(ROW()-1&lt;=$L$2+$M$2+$N$2,IFERROR(INDEX(CLOZE_LIST!$A:$K,ROW()-1-$L$2-$M$2+1,4),""),IF(ROW()-1&lt;=$L$2+$M$2+$N$2+$O$2,IFERROR(INDEX(PROFORMA!$A:$K,ROW()-1-$L$2-$M$2-$N$2+1,4),""),"")))))</f>
        <v>Filing, payment and claims deadlines</v>
      </c>
      <c r="E123" s="3" t="str">
        <f>IF(ROW()-1&lt;=0,"",IF(ROW()-1&lt;=$L$2,IFERROR(INDEX(MCQ!$A:$K,ROW()-1+1,5),""),IF(ROW()-1&lt;=$L$2+$M$2,IFERROR(INDEX(CLOZE_AB!$A:$K,ROW()-1-$L$2+1,5),""),IF(ROW()-1&lt;=$L$2+$M$2+$N$2,IFERROR(INDEX(CLOZE_LIST!$A:$K,ROW()-1-$L$2-$M$2+1,5),""),IF(ROW()-1&lt;=$L$2+$M$2+$N$2+$O$2,IFERROR(INDEX(PROFORMA!$A:$K,ROW()-1-$L$2-$M$2-$N$2+1,5),""),"")))))</f>
        <v>mcq_radio</v>
      </c>
      <c r="F123" s="3">
        <f>IF(ROW()-1&lt;=0,"",IF(ROW()-1&lt;=$L$2,IFERROR(INDEX(MCQ!$A:$K,ROW()-1+1,6),""),IF(ROW()-1&lt;=$L$2+$M$2,IFERROR(INDEX(CLOZE_AB!$A:$K,ROW()-1-$L$2+1,6),""),IF(ROW()-1&lt;=$L$2+$M$2+$N$2,IFERROR(INDEX(CLOZE_LIST!$A:$K,ROW()-1-$L$2-$M$2+1,6),""),IF(ROW()-1&lt;=$L$2+$M$2+$N$2+$O$2,IFERROR(INDEX(PROFORMA!$A:$K,ROW()-1-$L$2-$M$2-$N$2+1,6),""),"")))))</f>
        <v>3</v>
      </c>
      <c r="G123" s="3" t="str">
        <f>IF(ROW()-1&lt;=0,"",IF(ROW()-1&lt;=$L$2,IFERROR(INDEX(MCQ!$A:$K,ROW()-1+1,7),""),IF(ROW()-1&lt;=$L$2+$M$2,IFERROR(INDEX(CLOZE_AB!$A:$K,ROW()-1-$L$2+1,7),""),IF(ROW()-1&lt;=$L$2+$M$2+$N$2,IFERROR(INDEX(CLOZE_LIST!$A:$K,ROW()-1-$L$2-$M$2+1,7),""),IF(ROW()-1&lt;=$L$2+$M$2+$N$2+$O$2,IFERROR(INDEX(PROFORMA!$A:$K,ROW()-1-$L$2-$M$2-$N$2+1,7),""),"")))))</f>
        <v>core</v>
      </c>
      <c r="H123" s="3" t="str">
        <f>IF(ROW()-1&lt;=0,"",IF(ROW()-1&lt;=$L$2,IFERROR(INDEX(MCQ!$A:$K,ROW()-1+1,8),""),IF(ROW()-1&lt;=$L$2+$M$2,IFERROR(INDEX(CLOZE_AB!$A:$K,ROW()-1-$L$2+1,8),""),IF(ROW()-1&lt;=$L$2+$M$2+$N$2,IFERROR(INDEX(CLOZE_LIST!$A:$K,ROW()-1-$L$2-$M$2+1,8),""),IF(ROW()-1&lt;=$L$2+$M$2+$N$2+$O$2,IFERROR(INDEX(PROFORMA!$A:$K,ROW()-1-$L$2-$M$2-$N$2+1,8),""),"")))))</f>
        <v>Y</v>
      </c>
      <c r="I123" s="3" t="str">
        <f>IF(ROW()-1&lt;=0,"",IF(ROW()-1&lt;=$L$2,IFERROR(INDEX(MCQ!$A:$K,ROW()-1+1,9),""),IF(ROW()-1&lt;=$L$2+$M$2,IFERROR(INDEX(CLOZE_AB!$A:$K,ROW()-1-$L$2+1,9),""),IF(ROW()-1&lt;=$L$2+$M$2+$N$2,IFERROR(INDEX(CLOZE_LIST!$A:$K,ROW()-1-$L$2-$M$2+1,9),""),IF(ROW()-1&lt;=$L$2+$M$2+$N$2+$O$2,IFERROR(INDEX(PROFORMA!$A:$K,ROW()-1-$L$2-$M$2-$N$2+1,9),""),"")))))</f>
        <v>deadlines;claims</v>
      </c>
      <c r="J123" s="3" t="str">
        <f>IF(ROW()-1&lt;=0,"",IF(ROW()-1&lt;=$L$2,IFERROR(INDEX(MCQ!$A:$K,ROW()-1+1,10),""),IF(ROW()-1&lt;=$L$2+$M$2,IFERROR(INDEX(CLOZE_AB!$A:$K,ROW()-1-$L$2+1,10),""),IF(ROW()-1&lt;=$L$2+$M$2+$N$2,IFERROR(INDEX(CLOZE_LIST!$A:$K,ROW()-1-$L$2-$M$2+1,10),""),IF(ROW()-1&lt;=$L$2+$M$2+$N$2+$O$2,IFERROR(INDEX(PROFORMA!$A:$K,ROW()-1-$L$2-$M$2-$N$2+1,10),""),"")))))</f>
        <v>user_supplied</v>
      </c>
      <c r="K123" s="3">
        <f>IF(ROW()-1&lt;=0,"",IF(ROW()-1&lt;=$L$2,IFERROR(INDEX(MCQ!$A:$K,ROW()-1+1,11),""),IF(ROW()-1&lt;=$L$2+$M$2,IFERROR(INDEX(CLOZE_AB!$A:$K,ROW()-1-$L$2+1,11),""),IF(ROW()-1&lt;=$L$2+$M$2+$N$2,IFERROR(INDEX(CLOZE_LIST!$A:$K,ROW()-1-$L$2-$M$2+1,11),""),IF(ROW()-1&lt;=$L$2+$M$2+$N$2+$O$2,IFERROR(INDEX(PROFORMA!$A:$K,ROW()-1-$L$2-$M$2-$N$2+1,11),""),"")))))</f>
        <v>1</v>
      </c>
      <c r="L123" s="3">
        <f>COUNTA(MCQ!$A:$A)-1</f>
        <v>122</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AB_ITNIC_REQ_INVSCHEME_001</v>
      </c>
      <c r="B124" s="3" t="str">
        <f>IF(ROW()-1&lt;=0,"",IF(ROW()-1&lt;=$L$2,IFERROR(INDEX(MCQ!$A:$K,ROW()-1+1,2),""),IF(ROW()-1&lt;=$L$2+$M$2,IFERROR(INDEX(CLOZE_AB!$A:$K,ROW()-1-$L$2+1,2),""),IF(ROW()-1&lt;=$L$2+$M$2+$N$2,IFERROR(INDEX(CLOZE_LIST!$A:$K,ROW()-1-$L$2-$M$2+1,2),""),IF(ROW()-1&lt;=$L$2+$M$2+$N$2+$O$2,IFERROR(INDEX(PROFORMA!$A:$K,ROW()-1-$L$2-$M$2-$N$2+1,2),""),"")))))</f>
        <v>Income tax &amp; NIC</v>
      </c>
      <c r="C124" s="3" t="str">
        <f>IF(ROW()-1&lt;=0,"",IF(ROW()-1&lt;=$L$2,IFERROR(INDEX(MCQ!$A:$K,ROW()-1+1,3),""),IF(ROW()-1&lt;=$L$2+$M$2,IFERROR(INDEX(CLOZE_AB!$A:$K,ROW()-1-$L$2+1,3),""),IF(ROW()-1&lt;=$L$2+$M$2+$N$2,IFERROR(INDEX(CLOZE_LIST!$A:$K,ROW()-1-$L$2-$M$2+1,3),""),IF(ROW()-1&lt;=$L$2+$M$2+$N$2+$O$2,IFERROR(INDEX(PROFORMA!$A:$K,ROW()-1-$L$2-$M$2-$N$2+1,3),""),"")))))</f>
        <v>requirements</v>
      </c>
      <c r="D124" s="3" t="str">
        <f>IF(ROW()-1&lt;=0,"",IF(ROW()-1&lt;=$L$2,IFERROR(INDEX(MCQ!$A:$K,ROW()-1+1,4),""),IF(ROW()-1&lt;=$L$2+$M$2,IFERROR(INDEX(CLOZE_AB!$A:$K,ROW()-1-$L$2+1,4),""),IF(ROW()-1&lt;=$L$2+$M$2+$N$2,IFERROR(INDEX(CLOZE_LIST!$A:$K,ROW()-1-$L$2-$M$2+1,4),""),IF(ROW()-1&lt;=$L$2+$M$2+$N$2+$O$2,IFERROR(INDEX(PROFORMA!$A:$K,ROW()-1-$L$2-$M$2-$N$2+1,4),""),"")))))</f>
        <v>Tax efficient investments</v>
      </c>
      <c r="E124" s="3" t="str">
        <f>IF(ROW()-1&lt;=0,"",IF(ROW()-1&lt;=$L$2,IFERROR(INDEX(MCQ!$A:$K,ROW()-1+1,5),""),IF(ROW()-1&lt;=$L$2+$M$2,IFERROR(INDEX(CLOZE_AB!$A:$K,ROW()-1-$L$2+1,5),""),IF(ROW()-1&lt;=$L$2+$M$2+$N$2,IFERROR(INDEX(CLOZE_LIST!$A:$K,ROW()-1-$L$2-$M$2+1,5),""),IF(ROW()-1&lt;=$L$2+$M$2+$N$2+$O$2,IFERROR(INDEX(PROFORMA!$A:$K,ROW()-1-$L$2-$M$2-$N$2+1,5),""),"")))))</f>
        <v>cloze_ab</v>
      </c>
      <c r="F124" s="3">
        <f>IF(ROW()-1&lt;=0,"",IF(ROW()-1&lt;=$L$2,IFERROR(INDEX(MCQ!$A:$K,ROW()-1+1,6),""),IF(ROW()-1&lt;=$L$2+$M$2,IFERROR(INDEX(CLOZE_AB!$A:$K,ROW()-1-$L$2+1,6),""),IF(ROW()-1&lt;=$L$2+$M$2+$N$2,IFERROR(INDEX(CLOZE_LIST!$A:$K,ROW()-1-$L$2-$M$2+1,6),""),IF(ROW()-1&lt;=$L$2+$M$2+$N$2+$O$2,IFERROR(INDEX(PROFORMA!$A:$K,ROW()-1-$L$2-$M$2-$N$2+1,6),""),"")))))</f>
        <v>3</v>
      </c>
      <c r="G124" s="3">
        <f>IF(ROW()-1&lt;=0,"",IF(ROW()-1&lt;=$L$2,IFERROR(INDEX(MCQ!$A:$K,ROW()-1+1,7),""),IF(ROW()-1&lt;=$L$2+$M$2,IFERROR(INDEX(CLOZE_AB!$A:$K,ROW()-1-$L$2+1,7),""),IF(ROW()-1&lt;=$L$2+$M$2+$N$2,IFERROR(INDEX(CLOZE_LIST!$A:$K,ROW()-1-$L$2-$M$2+1,7),""),IF(ROW()-1&lt;=$L$2+$M$2+$N$2+$O$2,IFERROR(INDEX(PROFORMA!$A:$K,ROW()-1-$L$2-$M$2-$N$2+1,7),""),"")))))</f>
        <v>0</v>
      </c>
      <c r="H124" s="3" t="str">
        <f>IF(ROW()-1&lt;=0,"",IF(ROW()-1&lt;=$L$2,IFERROR(INDEX(MCQ!$A:$K,ROW()-1+1,8),""),IF(ROW()-1&lt;=$L$2+$M$2,IFERROR(INDEX(CLOZE_AB!$A:$K,ROW()-1-$L$2+1,8),""),IF(ROW()-1&lt;=$L$2+$M$2+$N$2,IFERROR(INDEX(CLOZE_LIST!$A:$K,ROW()-1-$L$2-$M$2+1,8),""),IF(ROW()-1&lt;=$L$2+$M$2+$N$2+$O$2,IFERROR(INDEX(PROFORMA!$A:$K,ROW()-1-$L$2-$M$2-$N$2+1,8),""),"")))))</f>
        <v>Y</v>
      </c>
      <c r="I124" s="3" t="str">
        <f>IF(ROW()-1&lt;=0,"",IF(ROW()-1&lt;=$L$2,IFERROR(INDEX(MCQ!$A:$K,ROW()-1+1,9),""),IF(ROW()-1&lt;=$L$2+$M$2,IFERROR(INDEX(CLOZE_AB!$A:$K,ROW()-1-$L$2+1,9),""),IF(ROW()-1&lt;=$L$2+$M$2+$N$2,IFERROR(INDEX(CLOZE_LIST!$A:$K,ROW()-1-$L$2-$M$2+1,9),""),IF(ROW()-1&lt;=$L$2+$M$2+$N$2+$O$2,IFERROR(INDEX(PROFORMA!$A:$K,ROW()-1-$L$2-$M$2-$N$2+1,9),""),"")))))</f>
        <v>eis|seis|vct</v>
      </c>
      <c r="J124" s="3" t="str">
        <f>IF(ROW()-1&lt;=0,"",IF(ROW()-1&lt;=$L$2,IFERROR(INDEX(MCQ!$A:$K,ROW()-1+1,10),""),IF(ROW()-1&lt;=$L$2+$M$2,IFERROR(INDEX(CLOZE_AB!$A:$K,ROW()-1-$L$2+1,10),""),IF(ROW()-1&lt;=$L$2+$M$2+$N$2,IFERROR(INDEX(CLOZE_LIST!$A:$K,ROW()-1-$L$2-$M$2+1,10),""),IF(ROW()-1&lt;=$L$2+$M$2+$N$2+$O$2,IFERROR(INDEX(PROFORMA!$A:$K,ROW()-1-$L$2-$M$2-$N$2+1,10),""),"")))))</f>
        <v>user_notes</v>
      </c>
      <c r="K124" s="3">
        <f>IF(ROW()-1&lt;=0,"",IF(ROW()-1&lt;=$L$2,IFERROR(INDEX(MCQ!$A:$K,ROW()-1+1,11),""),IF(ROW()-1&lt;=$L$2+$M$2,IFERROR(INDEX(CLOZE_AB!$A:$K,ROW()-1-$L$2+1,11),""),IF(ROW()-1&lt;=$L$2+$M$2+$N$2,IFERROR(INDEX(CLOZE_LIST!$A:$K,ROW()-1-$L$2-$M$2+1,11),""),IF(ROW()-1&lt;=$L$2+$M$2+$N$2+$O$2,IFERROR(INDEX(PROFORMA!$A:$K,ROW()-1-$L$2-$M$2-$N$2+1,11),""),"")))))</f>
        <v>1</v>
      </c>
      <c r="L124" s="3">
        <f>COUNTA(MCQ!$A:$A)-1</f>
        <v>122</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AB_ITNIC_REQ_INVSCHEME_002</v>
      </c>
      <c r="B125" s="3" t="str">
        <f>IF(ROW()-1&lt;=0,"",IF(ROW()-1&lt;=$L$2,IFERROR(INDEX(MCQ!$A:$K,ROW()-1+1,2),""),IF(ROW()-1&lt;=$L$2+$M$2,IFERROR(INDEX(CLOZE_AB!$A:$K,ROW()-1-$L$2+1,2),""),IF(ROW()-1&lt;=$L$2+$M$2+$N$2,IFERROR(INDEX(CLOZE_LIST!$A:$K,ROW()-1-$L$2-$M$2+1,2),""),IF(ROW()-1&lt;=$L$2+$M$2+$N$2+$O$2,IFERROR(INDEX(PROFORMA!$A:$K,ROW()-1-$L$2-$M$2-$N$2+1,2),""),"")))))</f>
        <v>Income tax &amp; NIC</v>
      </c>
      <c r="C125" s="3" t="str">
        <f>IF(ROW()-1&lt;=0,"",IF(ROW()-1&lt;=$L$2,IFERROR(INDEX(MCQ!$A:$K,ROW()-1+1,3),""),IF(ROW()-1&lt;=$L$2+$M$2,IFERROR(INDEX(CLOZE_AB!$A:$K,ROW()-1-$L$2+1,3),""),IF(ROW()-1&lt;=$L$2+$M$2+$N$2,IFERROR(INDEX(CLOZE_LIST!$A:$K,ROW()-1-$L$2-$M$2+1,3),""),IF(ROW()-1&lt;=$L$2+$M$2+$N$2+$O$2,IFERROR(INDEX(PROFORMA!$A:$K,ROW()-1-$L$2-$M$2-$N$2+1,3),""),"")))))</f>
        <v>requirements</v>
      </c>
      <c r="D125" s="3" t="str">
        <f>IF(ROW()-1&lt;=0,"",IF(ROW()-1&lt;=$L$2,IFERROR(INDEX(MCQ!$A:$K,ROW()-1+1,4),""),IF(ROW()-1&lt;=$L$2+$M$2,IFERROR(INDEX(CLOZE_AB!$A:$K,ROW()-1-$L$2+1,4),""),IF(ROW()-1&lt;=$L$2+$M$2+$N$2,IFERROR(INDEX(CLOZE_LIST!$A:$K,ROW()-1-$L$2-$M$2+1,4),""),IF(ROW()-1&lt;=$L$2+$M$2+$N$2+$O$2,IFERROR(INDEX(PROFORMA!$A:$K,ROW()-1-$L$2-$M$2-$N$2+1,4),""),"")))))</f>
        <v>Tax efficient investments</v>
      </c>
      <c r="E125" s="3" t="str">
        <f>IF(ROW()-1&lt;=0,"",IF(ROW()-1&lt;=$L$2,IFERROR(INDEX(MCQ!$A:$K,ROW()-1+1,5),""),IF(ROW()-1&lt;=$L$2+$M$2,IFERROR(INDEX(CLOZE_AB!$A:$K,ROW()-1-$L$2+1,5),""),IF(ROW()-1&lt;=$L$2+$M$2+$N$2,IFERROR(INDEX(CLOZE_LIST!$A:$K,ROW()-1-$L$2-$M$2+1,5),""),IF(ROW()-1&lt;=$L$2+$M$2+$N$2+$O$2,IFERROR(INDEX(PROFORMA!$A:$K,ROW()-1-$L$2-$M$2-$N$2+1,5),""),"")))))</f>
        <v>cloze_ab</v>
      </c>
      <c r="F125" s="3">
        <f>IF(ROW()-1&lt;=0,"",IF(ROW()-1&lt;=$L$2,IFERROR(INDEX(MCQ!$A:$K,ROW()-1+1,6),""),IF(ROW()-1&lt;=$L$2+$M$2,IFERROR(INDEX(CLOZE_AB!$A:$K,ROW()-1-$L$2+1,6),""),IF(ROW()-1&lt;=$L$2+$M$2+$N$2,IFERROR(INDEX(CLOZE_LIST!$A:$K,ROW()-1-$L$2-$M$2+1,6),""),IF(ROW()-1&lt;=$L$2+$M$2+$N$2+$O$2,IFERROR(INDEX(PROFORMA!$A:$K,ROW()-1-$L$2-$M$2-$N$2+1,6),""),"")))))</f>
        <v>3</v>
      </c>
      <c r="G125" s="3">
        <f>IF(ROW()-1&lt;=0,"",IF(ROW()-1&lt;=$L$2,IFERROR(INDEX(MCQ!$A:$K,ROW()-1+1,7),""),IF(ROW()-1&lt;=$L$2+$M$2,IFERROR(INDEX(CLOZE_AB!$A:$K,ROW()-1-$L$2+1,7),""),IF(ROW()-1&lt;=$L$2+$M$2+$N$2,IFERROR(INDEX(CLOZE_LIST!$A:$K,ROW()-1-$L$2-$M$2+1,7),""),IF(ROW()-1&lt;=$L$2+$M$2+$N$2+$O$2,IFERROR(INDEX(PROFORMA!$A:$K,ROW()-1-$L$2-$M$2-$N$2+1,7),""),"")))))</f>
        <v>0</v>
      </c>
      <c r="H125" s="3" t="str">
        <f>IF(ROW()-1&lt;=0,"",IF(ROW()-1&lt;=$L$2,IFERROR(INDEX(MCQ!$A:$K,ROW()-1+1,8),""),IF(ROW()-1&lt;=$L$2+$M$2,IFERROR(INDEX(CLOZE_AB!$A:$K,ROW()-1-$L$2+1,8),""),IF(ROW()-1&lt;=$L$2+$M$2+$N$2,IFERROR(INDEX(CLOZE_LIST!$A:$K,ROW()-1-$L$2-$M$2+1,8),""),IF(ROW()-1&lt;=$L$2+$M$2+$N$2+$O$2,IFERROR(INDEX(PROFORMA!$A:$K,ROW()-1-$L$2-$M$2-$N$2+1,8),""),"")))))</f>
        <v>Y</v>
      </c>
      <c r="I125" s="3" t="str">
        <f>IF(ROW()-1&lt;=0,"",IF(ROW()-1&lt;=$L$2,IFERROR(INDEX(MCQ!$A:$K,ROW()-1+1,9),""),IF(ROW()-1&lt;=$L$2+$M$2,IFERROR(INDEX(CLOZE_AB!$A:$K,ROW()-1-$L$2+1,9),""),IF(ROW()-1&lt;=$L$2+$M$2+$N$2,IFERROR(INDEX(CLOZE_LIST!$A:$K,ROW()-1-$L$2-$M$2+1,9),""),IF(ROW()-1&lt;=$L$2+$M$2+$N$2+$O$2,IFERROR(INDEX(PROFORMA!$A:$K,ROW()-1-$L$2-$M$2-$N$2+1,9),""),"")))))</f>
        <v>eis|conditions</v>
      </c>
      <c r="J125" s="3" t="str">
        <f>IF(ROW()-1&lt;=0,"",IF(ROW()-1&lt;=$L$2,IFERROR(INDEX(MCQ!$A:$K,ROW()-1+1,10),""),IF(ROW()-1&lt;=$L$2+$M$2,IFERROR(INDEX(CLOZE_AB!$A:$K,ROW()-1-$L$2+1,10),""),IF(ROW()-1&lt;=$L$2+$M$2+$N$2,IFERROR(INDEX(CLOZE_LIST!$A:$K,ROW()-1-$L$2-$M$2+1,10),""),IF(ROW()-1&lt;=$L$2+$M$2+$N$2+$O$2,IFERROR(INDEX(PROFORMA!$A:$K,ROW()-1-$L$2-$M$2-$N$2+1,10),""),"")))))</f>
        <v>user_notes</v>
      </c>
      <c r="K125" s="3">
        <f>IF(ROW()-1&lt;=0,"",IF(ROW()-1&lt;=$L$2,IFERROR(INDEX(MCQ!$A:$K,ROW()-1+1,11),""),IF(ROW()-1&lt;=$L$2+$M$2,IFERROR(INDEX(CLOZE_AB!$A:$K,ROW()-1-$L$2+1,11),""),IF(ROW()-1&lt;=$L$2+$M$2+$N$2,IFERROR(INDEX(CLOZE_LIST!$A:$K,ROW()-1-$L$2-$M$2+1,11),""),IF(ROW()-1&lt;=$L$2+$M$2+$N$2+$O$2,IFERROR(INDEX(PROFORMA!$A:$K,ROW()-1-$L$2-$M$2-$N$2+1,11),""),"")))))</f>
        <v>1</v>
      </c>
      <c r="L125" s="3">
        <f>COUNTA(MCQ!$A:$A)-1</f>
        <v>122</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AB_ITNIC_REQ_INVSCHEME_003</v>
      </c>
      <c r="B126" s="3" t="str">
        <f>IF(ROW()-1&lt;=0,"",IF(ROW()-1&lt;=$L$2,IFERROR(INDEX(MCQ!$A:$K,ROW()-1+1,2),""),IF(ROW()-1&lt;=$L$2+$M$2,IFERROR(INDEX(CLOZE_AB!$A:$K,ROW()-1-$L$2+1,2),""),IF(ROW()-1&lt;=$L$2+$M$2+$N$2,IFERROR(INDEX(CLOZE_LIST!$A:$K,ROW()-1-$L$2-$M$2+1,2),""),IF(ROW()-1&lt;=$L$2+$M$2+$N$2+$O$2,IFERROR(INDEX(PROFORMA!$A:$K,ROW()-1-$L$2-$M$2-$N$2+1,2),""),"")))))</f>
        <v>Income tax &amp; NIC</v>
      </c>
      <c r="C126" s="3" t="str">
        <f>IF(ROW()-1&lt;=0,"",IF(ROW()-1&lt;=$L$2,IFERROR(INDEX(MCQ!$A:$K,ROW()-1+1,3),""),IF(ROW()-1&lt;=$L$2+$M$2,IFERROR(INDEX(CLOZE_AB!$A:$K,ROW()-1-$L$2+1,3),""),IF(ROW()-1&lt;=$L$2+$M$2+$N$2,IFERROR(INDEX(CLOZE_LIST!$A:$K,ROW()-1-$L$2-$M$2+1,3),""),IF(ROW()-1&lt;=$L$2+$M$2+$N$2+$O$2,IFERROR(INDEX(PROFORMA!$A:$K,ROW()-1-$L$2-$M$2-$N$2+1,3),""),"")))))</f>
        <v>requirements</v>
      </c>
      <c r="D126" s="3" t="str">
        <f>IF(ROW()-1&lt;=0,"",IF(ROW()-1&lt;=$L$2,IFERROR(INDEX(MCQ!$A:$K,ROW()-1+1,4),""),IF(ROW()-1&lt;=$L$2+$M$2,IFERROR(INDEX(CLOZE_AB!$A:$K,ROW()-1-$L$2+1,4),""),IF(ROW()-1&lt;=$L$2+$M$2+$N$2,IFERROR(INDEX(CLOZE_LIST!$A:$K,ROW()-1-$L$2-$M$2+1,4),""),IF(ROW()-1&lt;=$L$2+$M$2+$N$2+$O$2,IFERROR(INDEX(PROFORMA!$A:$K,ROW()-1-$L$2-$M$2-$N$2+1,4),""),"")))))</f>
        <v>Tax efficient investments</v>
      </c>
      <c r="E126" s="3" t="str">
        <f>IF(ROW()-1&lt;=0,"",IF(ROW()-1&lt;=$L$2,IFERROR(INDEX(MCQ!$A:$K,ROW()-1+1,5),""),IF(ROW()-1&lt;=$L$2+$M$2,IFERROR(INDEX(CLOZE_AB!$A:$K,ROW()-1-$L$2+1,5),""),IF(ROW()-1&lt;=$L$2+$M$2+$N$2,IFERROR(INDEX(CLOZE_LIST!$A:$K,ROW()-1-$L$2-$M$2+1,5),""),IF(ROW()-1&lt;=$L$2+$M$2+$N$2+$O$2,IFERROR(INDEX(PROFORMA!$A:$K,ROW()-1-$L$2-$M$2-$N$2+1,5),""),"")))))</f>
        <v>cloze_ab</v>
      </c>
      <c r="F126" s="3">
        <f>IF(ROW()-1&lt;=0,"",IF(ROW()-1&lt;=$L$2,IFERROR(INDEX(MCQ!$A:$K,ROW()-1+1,6),""),IF(ROW()-1&lt;=$L$2+$M$2,IFERROR(INDEX(CLOZE_AB!$A:$K,ROW()-1-$L$2+1,6),""),IF(ROW()-1&lt;=$L$2+$M$2+$N$2,IFERROR(INDEX(CLOZE_LIST!$A:$K,ROW()-1-$L$2-$M$2+1,6),""),IF(ROW()-1&lt;=$L$2+$M$2+$N$2+$O$2,IFERROR(INDEX(PROFORMA!$A:$K,ROW()-1-$L$2-$M$2-$N$2+1,6),""),"")))))</f>
        <v>3</v>
      </c>
      <c r="G126" s="3">
        <f>IF(ROW()-1&lt;=0,"",IF(ROW()-1&lt;=$L$2,IFERROR(INDEX(MCQ!$A:$K,ROW()-1+1,7),""),IF(ROW()-1&lt;=$L$2+$M$2,IFERROR(INDEX(CLOZE_AB!$A:$K,ROW()-1-$L$2+1,7),""),IF(ROW()-1&lt;=$L$2+$M$2+$N$2,IFERROR(INDEX(CLOZE_LIST!$A:$K,ROW()-1-$L$2-$M$2+1,7),""),IF(ROW()-1&lt;=$L$2+$M$2+$N$2+$O$2,IFERROR(INDEX(PROFORMA!$A:$K,ROW()-1-$L$2-$M$2-$N$2+1,7),""),"")))))</f>
        <v>0</v>
      </c>
      <c r="H126" s="3" t="str">
        <f>IF(ROW()-1&lt;=0,"",IF(ROW()-1&lt;=$L$2,IFERROR(INDEX(MCQ!$A:$K,ROW()-1+1,8),""),IF(ROW()-1&lt;=$L$2+$M$2,IFERROR(INDEX(CLOZE_AB!$A:$K,ROW()-1-$L$2+1,8),""),IF(ROW()-1&lt;=$L$2+$M$2+$N$2,IFERROR(INDEX(CLOZE_LIST!$A:$K,ROW()-1-$L$2-$M$2+1,8),""),IF(ROW()-1&lt;=$L$2+$M$2+$N$2+$O$2,IFERROR(INDEX(PROFORMA!$A:$K,ROW()-1-$L$2-$M$2-$N$2+1,8),""),"")))))</f>
        <v>Y</v>
      </c>
      <c r="I126" s="3" t="str">
        <f>IF(ROW()-1&lt;=0,"",IF(ROW()-1&lt;=$L$2,IFERROR(INDEX(MCQ!$A:$K,ROW()-1+1,9),""),IF(ROW()-1&lt;=$L$2+$M$2,IFERROR(INDEX(CLOZE_AB!$A:$K,ROW()-1-$L$2+1,9),""),IF(ROW()-1&lt;=$L$2+$M$2+$N$2,IFERROR(INDEX(CLOZE_LIST!$A:$K,ROW()-1-$L$2-$M$2+1,9),""),IF(ROW()-1&lt;=$L$2+$M$2+$N$2+$O$2,IFERROR(INDEX(PROFORMA!$A:$K,ROW()-1-$L$2-$M$2-$N$2+1,9),""),"")))))</f>
        <v>eis|withdrawal</v>
      </c>
      <c r="J126" s="3" t="str">
        <f>IF(ROW()-1&lt;=0,"",IF(ROW()-1&lt;=$L$2,IFERROR(INDEX(MCQ!$A:$K,ROW()-1+1,10),""),IF(ROW()-1&lt;=$L$2+$M$2,IFERROR(INDEX(CLOZE_AB!$A:$K,ROW()-1-$L$2+1,10),""),IF(ROW()-1&lt;=$L$2+$M$2+$N$2,IFERROR(INDEX(CLOZE_LIST!$A:$K,ROW()-1-$L$2-$M$2+1,10),""),IF(ROW()-1&lt;=$L$2+$M$2+$N$2+$O$2,IFERROR(INDEX(PROFORMA!$A:$K,ROW()-1-$L$2-$M$2-$N$2+1,10),""),"")))))</f>
        <v>user_notes</v>
      </c>
      <c r="K126" s="3">
        <f>IF(ROW()-1&lt;=0,"",IF(ROW()-1&lt;=$L$2,IFERROR(INDEX(MCQ!$A:$K,ROW()-1+1,11),""),IF(ROW()-1&lt;=$L$2+$M$2,IFERROR(INDEX(CLOZE_AB!$A:$K,ROW()-1-$L$2+1,11),""),IF(ROW()-1&lt;=$L$2+$M$2+$N$2,IFERROR(INDEX(CLOZE_LIST!$A:$K,ROW()-1-$L$2-$M$2+1,11),""),IF(ROW()-1&lt;=$L$2+$M$2+$N$2+$O$2,IFERROR(INDEX(PROFORMA!$A:$K,ROW()-1-$L$2-$M$2-$N$2+1,11),""),"")))))</f>
        <v>1</v>
      </c>
      <c r="L126" s="3">
        <f>COUNTA(MCQ!$A:$A)-1</f>
        <v>122</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AB_ITNIC_REQ_INVSCHEME_004</v>
      </c>
      <c r="B127" s="3" t="str">
        <f>IF(ROW()-1&lt;=0,"",IF(ROW()-1&lt;=$L$2,IFERROR(INDEX(MCQ!$A:$K,ROW()-1+1,2),""),IF(ROW()-1&lt;=$L$2+$M$2,IFERROR(INDEX(CLOZE_AB!$A:$K,ROW()-1-$L$2+1,2),""),IF(ROW()-1&lt;=$L$2+$M$2+$N$2,IFERROR(INDEX(CLOZE_LIST!$A:$K,ROW()-1-$L$2-$M$2+1,2),""),IF(ROW()-1&lt;=$L$2+$M$2+$N$2+$O$2,IFERROR(INDEX(PROFORMA!$A:$K,ROW()-1-$L$2-$M$2-$N$2+1,2),""),"")))))</f>
        <v>Income tax &amp; NIC</v>
      </c>
      <c r="C127" s="3" t="str">
        <f>IF(ROW()-1&lt;=0,"",IF(ROW()-1&lt;=$L$2,IFERROR(INDEX(MCQ!$A:$K,ROW()-1+1,3),""),IF(ROW()-1&lt;=$L$2+$M$2,IFERROR(INDEX(CLOZE_AB!$A:$K,ROW()-1-$L$2+1,3),""),IF(ROW()-1&lt;=$L$2+$M$2+$N$2,IFERROR(INDEX(CLOZE_LIST!$A:$K,ROW()-1-$L$2-$M$2+1,3),""),IF(ROW()-1&lt;=$L$2+$M$2+$N$2+$O$2,IFERROR(INDEX(PROFORMA!$A:$K,ROW()-1-$L$2-$M$2-$N$2+1,3),""),"")))))</f>
        <v>requirements</v>
      </c>
      <c r="D127" s="3" t="str">
        <f>IF(ROW()-1&lt;=0,"",IF(ROW()-1&lt;=$L$2,IFERROR(INDEX(MCQ!$A:$K,ROW()-1+1,4),""),IF(ROW()-1&lt;=$L$2+$M$2,IFERROR(INDEX(CLOZE_AB!$A:$K,ROW()-1-$L$2+1,4),""),IF(ROW()-1&lt;=$L$2+$M$2+$N$2,IFERROR(INDEX(CLOZE_LIST!$A:$K,ROW()-1-$L$2-$M$2+1,4),""),IF(ROW()-1&lt;=$L$2+$M$2+$N$2+$O$2,IFERROR(INDEX(PROFORMA!$A:$K,ROW()-1-$L$2-$M$2-$N$2+1,4),""),"")))))</f>
        <v>Tax efficient investments</v>
      </c>
      <c r="E127" s="3" t="str">
        <f>IF(ROW()-1&lt;=0,"",IF(ROW()-1&lt;=$L$2,IFERROR(INDEX(MCQ!$A:$K,ROW()-1+1,5),""),IF(ROW()-1&lt;=$L$2+$M$2,IFERROR(INDEX(CLOZE_AB!$A:$K,ROW()-1-$L$2+1,5),""),IF(ROW()-1&lt;=$L$2+$M$2+$N$2,IFERROR(INDEX(CLOZE_LIST!$A:$K,ROW()-1-$L$2-$M$2+1,5),""),IF(ROW()-1&lt;=$L$2+$M$2+$N$2+$O$2,IFERROR(INDEX(PROFORMA!$A:$K,ROW()-1-$L$2-$M$2-$N$2+1,5),""),"")))))</f>
        <v>cloze_ab</v>
      </c>
      <c r="F127" s="3">
        <f>IF(ROW()-1&lt;=0,"",IF(ROW()-1&lt;=$L$2,IFERROR(INDEX(MCQ!$A:$K,ROW()-1+1,6),""),IF(ROW()-1&lt;=$L$2+$M$2,IFERROR(INDEX(CLOZE_AB!$A:$K,ROW()-1-$L$2+1,6),""),IF(ROW()-1&lt;=$L$2+$M$2+$N$2,IFERROR(INDEX(CLOZE_LIST!$A:$K,ROW()-1-$L$2-$M$2+1,6),""),IF(ROW()-1&lt;=$L$2+$M$2+$N$2+$O$2,IFERROR(INDEX(PROFORMA!$A:$K,ROW()-1-$L$2-$M$2-$N$2+1,6),""),"")))))</f>
        <v>3</v>
      </c>
      <c r="G127" s="3">
        <f>IF(ROW()-1&lt;=0,"",IF(ROW()-1&lt;=$L$2,IFERROR(INDEX(MCQ!$A:$K,ROW()-1+1,7),""),IF(ROW()-1&lt;=$L$2+$M$2,IFERROR(INDEX(CLOZE_AB!$A:$K,ROW()-1-$L$2+1,7),""),IF(ROW()-1&lt;=$L$2+$M$2+$N$2,IFERROR(INDEX(CLOZE_LIST!$A:$K,ROW()-1-$L$2-$M$2+1,7),""),IF(ROW()-1&lt;=$L$2+$M$2+$N$2+$O$2,IFERROR(INDEX(PROFORMA!$A:$K,ROW()-1-$L$2-$M$2-$N$2+1,7),""),"")))))</f>
        <v>0</v>
      </c>
      <c r="H127" s="3" t="str">
        <f>IF(ROW()-1&lt;=0,"",IF(ROW()-1&lt;=$L$2,IFERROR(INDEX(MCQ!$A:$K,ROW()-1+1,8),""),IF(ROW()-1&lt;=$L$2+$M$2,IFERROR(INDEX(CLOZE_AB!$A:$K,ROW()-1-$L$2+1,8),""),IF(ROW()-1&lt;=$L$2+$M$2+$N$2,IFERROR(INDEX(CLOZE_LIST!$A:$K,ROW()-1-$L$2-$M$2+1,8),""),IF(ROW()-1&lt;=$L$2+$M$2+$N$2+$O$2,IFERROR(INDEX(PROFORMA!$A:$K,ROW()-1-$L$2-$M$2-$N$2+1,8),""),"")))))</f>
        <v>Y</v>
      </c>
      <c r="I127" s="3" t="str">
        <f>IF(ROW()-1&lt;=0,"",IF(ROW()-1&lt;=$L$2,IFERROR(INDEX(MCQ!$A:$K,ROW()-1+1,9),""),IF(ROW()-1&lt;=$L$2+$M$2,IFERROR(INDEX(CLOZE_AB!$A:$K,ROW()-1-$L$2+1,9),""),IF(ROW()-1&lt;=$L$2+$M$2+$N$2,IFERROR(INDEX(CLOZE_LIST!$A:$K,ROW()-1-$L$2-$M$2+1,9),""),IF(ROW()-1&lt;=$L$2+$M$2+$N$2+$O$2,IFERROR(INDEX(PROFORMA!$A:$K,ROW()-1-$L$2-$M$2-$N$2+1,9),""),"")))))</f>
        <v>eis|cgt</v>
      </c>
      <c r="J127" s="3" t="str">
        <f>IF(ROW()-1&lt;=0,"",IF(ROW()-1&lt;=$L$2,IFERROR(INDEX(MCQ!$A:$K,ROW()-1+1,10),""),IF(ROW()-1&lt;=$L$2+$M$2,IFERROR(INDEX(CLOZE_AB!$A:$K,ROW()-1-$L$2+1,10),""),IF(ROW()-1&lt;=$L$2+$M$2+$N$2,IFERROR(INDEX(CLOZE_LIST!$A:$K,ROW()-1-$L$2-$M$2+1,10),""),IF(ROW()-1&lt;=$L$2+$M$2+$N$2+$O$2,IFERROR(INDEX(PROFORMA!$A:$K,ROW()-1-$L$2-$M$2-$N$2+1,10),""),"")))))</f>
        <v>user_notes</v>
      </c>
      <c r="K127" s="3">
        <f>IF(ROW()-1&lt;=0,"",IF(ROW()-1&lt;=$L$2,IFERROR(INDEX(MCQ!$A:$K,ROW()-1+1,11),""),IF(ROW()-1&lt;=$L$2+$M$2,IFERROR(INDEX(CLOZE_AB!$A:$K,ROW()-1-$L$2+1,11),""),IF(ROW()-1&lt;=$L$2+$M$2+$N$2,IFERROR(INDEX(CLOZE_LIST!$A:$K,ROW()-1-$L$2-$M$2+1,11),""),IF(ROW()-1&lt;=$L$2+$M$2+$N$2+$O$2,IFERROR(INDEX(PROFORMA!$A:$K,ROW()-1-$L$2-$M$2-$N$2+1,11),""),"")))))</f>
        <v>1</v>
      </c>
      <c r="L127" s="3">
        <f>COUNTA(MCQ!$A:$A)-1</f>
        <v>122</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AB_ITNIC_REQ_INVSCHEME_005</v>
      </c>
      <c r="B128" s="3" t="str">
        <f>IF(ROW()-1&lt;=0,"",IF(ROW()-1&lt;=$L$2,IFERROR(INDEX(MCQ!$A:$K,ROW()-1+1,2),""),IF(ROW()-1&lt;=$L$2+$M$2,IFERROR(INDEX(CLOZE_AB!$A:$K,ROW()-1-$L$2+1,2),""),IF(ROW()-1&lt;=$L$2+$M$2+$N$2,IFERROR(INDEX(CLOZE_LIST!$A:$K,ROW()-1-$L$2-$M$2+1,2),""),IF(ROW()-1&lt;=$L$2+$M$2+$N$2+$O$2,IFERROR(INDEX(PROFORMA!$A:$K,ROW()-1-$L$2-$M$2-$N$2+1,2),""),"")))))</f>
        <v>Income tax &amp; NIC</v>
      </c>
      <c r="C128" s="3" t="str">
        <f>IF(ROW()-1&lt;=0,"",IF(ROW()-1&lt;=$L$2,IFERROR(INDEX(MCQ!$A:$K,ROW()-1+1,3),""),IF(ROW()-1&lt;=$L$2+$M$2,IFERROR(INDEX(CLOZE_AB!$A:$K,ROW()-1-$L$2+1,3),""),IF(ROW()-1&lt;=$L$2+$M$2+$N$2,IFERROR(INDEX(CLOZE_LIST!$A:$K,ROW()-1-$L$2-$M$2+1,3),""),IF(ROW()-1&lt;=$L$2+$M$2+$N$2+$O$2,IFERROR(INDEX(PROFORMA!$A:$K,ROW()-1-$L$2-$M$2-$N$2+1,3),""),"")))))</f>
        <v>requirements</v>
      </c>
      <c r="D128" s="3" t="str">
        <f>IF(ROW()-1&lt;=0,"",IF(ROW()-1&lt;=$L$2,IFERROR(INDEX(MCQ!$A:$K,ROW()-1+1,4),""),IF(ROW()-1&lt;=$L$2+$M$2,IFERROR(INDEX(CLOZE_AB!$A:$K,ROW()-1-$L$2+1,4),""),IF(ROW()-1&lt;=$L$2+$M$2+$N$2,IFERROR(INDEX(CLOZE_LIST!$A:$K,ROW()-1-$L$2-$M$2+1,4),""),IF(ROW()-1&lt;=$L$2+$M$2+$N$2+$O$2,IFERROR(INDEX(PROFORMA!$A:$K,ROW()-1-$L$2-$M$2-$N$2+1,4),""),"")))))</f>
        <v>Tax efficient investments</v>
      </c>
      <c r="E128" s="3" t="str">
        <f>IF(ROW()-1&lt;=0,"",IF(ROW()-1&lt;=$L$2,IFERROR(INDEX(MCQ!$A:$K,ROW()-1+1,5),""),IF(ROW()-1&lt;=$L$2+$M$2,IFERROR(INDEX(CLOZE_AB!$A:$K,ROW()-1-$L$2+1,5),""),IF(ROW()-1&lt;=$L$2+$M$2+$N$2,IFERROR(INDEX(CLOZE_LIST!$A:$K,ROW()-1-$L$2-$M$2+1,5),""),IF(ROW()-1&lt;=$L$2+$M$2+$N$2+$O$2,IFERROR(INDEX(PROFORMA!$A:$K,ROW()-1-$L$2-$M$2-$N$2+1,5),""),"")))))</f>
        <v>cloze_ab</v>
      </c>
      <c r="F128" s="3">
        <f>IF(ROW()-1&lt;=0,"",IF(ROW()-1&lt;=$L$2,IFERROR(INDEX(MCQ!$A:$K,ROW()-1+1,6),""),IF(ROW()-1&lt;=$L$2+$M$2,IFERROR(INDEX(CLOZE_AB!$A:$K,ROW()-1-$L$2+1,6),""),IF(ROW()-1&lt;=$L$2+$M$2+$N$2,IFERROR(INDEX(CLOZE_LIST!$A:$K,ROW()-1-$L$2-$M$2+1,6),""),IF(ROW()-1&lt;=$L$2+$M$2+$N$2+$O$2,IFERROR(INDEX(PROFORMA!$A:$K,ROW()-1-$L$2-$M$2-$N$2+1,6),""),"")))))</f>
        <v>3</v>
      </c>
      <c r="G128" s="3">
        <f>IF(ROW()-1&lt;=0,"",IF(ROW()-1&lt;=$L$2,IFERROR(INDEX(MCQ!$A:$K,ROW()-1+1,7),""),IF(ROW()-1&lt;=$L$2+$M$2,IFERROR(INDEX(CLOZE_AB!$A:$K,ROW()-1-$L$2+1,7),""),IF(ROW()-1&lt;=$L$2+$M$2+$N$2,IFERROR(INDEX(CLOZE_LIST!$A:$K,ROW()-1-$L$2-$M$2+1,7),""),IF(ROW()-1&lt;=$L$2+$M$2+$N$2+$O$2,IFERROR(INDEX(PROFORMA!$A:$K,ROW()-1-$L$2-$M$2-$N$2+1,7),""),"")))))</f>
        <v>0</v>
      </c>
      <c r="H128" s="3" t="str">
        <f>IF(ROW()-1&lt;=0,"",IF(ROW()-1&lt;=$L$2,IFERROR(INDEX(MCQ!$A:$K,ROW()-1+1,8),""),IF(ROW()-1&lt;=$L$2+$M$2,IFERROR(INDEX(CLOZE_AB!$A:$K,ROW()-1-$L$2+1,8),""),IF(ROW()-1&lt;=$L$2+$M$2+$N$2,IFERROR(INDEX(CLOZE_LIST!$A:$K,ROW()-1-$L$2-$M$2+1,8),""),IF(ROW()-1&lt;=$L$2+$M$2+$N$2+$O$2,IFERROR(INDEX(PROFORMA!$A:$K,ROW()-1-$L$2-$M$2-$N$2+1,8),""),"")))))</f>
        <v>Y</v>
      </c>
      <c r="I128" s="3" t="str">
        <f>IF(ROW()-1&lt;=0,"",IF(ROW()-1&lt;=$L$2,IFERROR(INDEX(MCQ!$A:$K,ROW()-1+1,9),""),IF(ROW()-1&lt;=$L$2+$M$2,IFERROR(INDEX(CLOZE_AB!$A:$K,ROW()-1-$L$2+1,9),""),IF(ROW()-1&lt;=$L$2+$M$2+$N$2,IFERROR(INDEX(CLOZE_LIST!$A:$K,ROW()-1-$L$2-$M$2+1,9),""),IF(ROW()-1&lt;=$L$2+$M$2+$N$2+$O$2,IFERROR(INDEX(PROFORMA!$A:$K,ROW()-1-$L$2-$M$2-$N$2+1,9),""),"")))))</f>
        <v>seis|limits</v>
      </c>
      <c r="J128" s="3" t="str">
        <f>IF(ROW()-1&lt;=0,"",IF(ROW()-1&lt;=$L$2,IFERROR(INDEX(MCQ!$A:$K,ROW()-1+1,10),""),IF(ROW()-1&lt;=$L$2+$M$2,IFERROR(INDEX(CLOZE_AB!$A:$K,ROW()-1-$L$2+1,10),""),IF(ROW()-1&lt;=$L$2+$M$2+$N$2,IFERROR(INDEX(CLOZE_LIST!$A:$K,ROW()-1-$L$2-$M$2+1,10),""),IF(ROW()-1&lt;=$L$2+$M$2+$N$2+$O$2,IFERROR(INDEX(PROFORMA!$A:$K,ROW()-1-$L$2-$M$2-$N$2+1,10),""),"")))))</f>
        <v>user_notes</v>
      </c>
      <c r="K128" s="3">
        <f>IF(ROW()-1&lt;=0,"",IF(ROW()-1&lt;=$L$2,IFERROR(INDEX(MCQ!$A:$K,ROW()-1+1,11),""),IF(ROW()-1&lt;=$L$2+$M$2,IFERROR(INDEX(CLOZE_AB!$A:$K,ROW()-1-$L$2+1,11),""),IF(ROW()-1&lt;=$L$2+$M$2+$N$2,IFERROR(INDEX(CLOZE_LIST!$A:$K,ROW()-1-$L$2-$M$2+1,11),""),IF(ROW()-1&lt;=$L$2+$M$2+$N$2+$O$2,IFERROR(INDEX(PROFORMA!$A:$K,ROW()-1-$L$2-$M$2-$N$2+1,11),""),"")))))</f>
        <v>1</v>
      </c>
      <c r="L128" s="3">
        <f>COUNTA(MCQ!$A:$A)-1</f>
        <v>122</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AB_ITNIC_REQ_INVSCHEME_006</v>
      </c>
      <c r="B129" s="3" t="str">
        <f>IF(ROW()-1&lt;=0,"",IF(ROW()-1&lt;=$L$2,IFERROR(INDEX(MCQ!$A:$K,ROW()-1+1,2),""),IF(ROW()-1&lt;=$L$2+$M$2,IFERROR(INDEX(CLOZE_AB!$A:$K,ROW()-1-$L$2+1,2),""),IF(ROW()-1&lt;=$L$2+$M$2+$N$2,IFERROR(INDEX(CLOZE_LIST!$A:$K,ROW()-1-$L$2-$M$2+1,2),""),IF(ROW()-1&lt;=$L$2+$M$2+$N$2+$O$2,IFERROR(INDEX(PROFORMA!$A:$K,ROW()-1-$L$2-$M$2-$N$2+1,2),""),"")))))</f>
        <v>Income tax &amp; NIC</v>
      </c>
      <c r="C129" s="3" t="str">
        <f>IF(ROW()-1&lt;=0,"",IF(ROW()-1&lt;=$L$2,IFERROR(INDEX(MCQ!$A:$K,ROW()-1+1,3),""),IF(ROW()-1&lt;=$L$2+$M$2,IFERROR(INDEX(CLOZE_AB!$A:$K,ROW()-1-$L$2+1,3),""),IF(ROW()-1&lt;=$L$2+$M$2+$N$2,IFERROR(INDEX(CLOZE_LIST!$A:$K,ROW()-1-$L$2-$M$2+1,3),""),IF(ROW()-1&lt;=$L$2+$M$2+$N$2+$O$2,IFERROR(INDEX(PROFORMA!$A:$K,ROW()-1-$L$2-$M$2-$N$2+1,3),""),"")))))</f>
        <v>requirements</v>
      </c>
      <c r="D129" s="3" t="str">
        <f>IF(ROW()-1&lt;=0,"",IF(ROW()-1&lt;=$L$2,IFERROR(INDEX(MCQ!$A:$K,ROW()-1+1,4),""),IF(ROW()-1&lt;=$L$2+$M$2,IFERROR(INDEX(CLOZE_AB!$A:$K,ROW()-1-$L$2+1,4),""),IF(ROW()-1&lt;=$L$2+$M$2+$N$2,IFERROR(INDEX(CLOZE_LIST!$A:$K,ROW()-1-$L$2-$M$2+1,4),""),IF(ROW()-1&lt;=$L$2+$M$2+$N$2+$O$2,IFERROR(INDEX(PROFORMA!$A:$K,ROW()-1-$L$2-$M$2-$N$2+1,4),""),"")))))</f>
        <v>Tax efficient investments</v>
      </c>
      <c r="E129" s="3" t="str">
        <f>IF(ROW()-1&lt;=0,"",IF(ROW()-1&lt;=$L$2,IFERROR(INDEX(MCQ!$A:$K,ROW()-1+1,5),""),IF(ROW()-1&lt;=$L$2+$M$2,IFERROR(INDEX(CLOZE_AB!$A:$K,ROW()-1-$L$2+1,5),""),IF(ROW()-1&lt;=$L$2+$M$2+$N$2,IFERROR(INDEX(CLOZE_LIST!$A:$K,ROW()-1-$L$2-$M$2+1,5),""),IF(ROW()-1&lt;=$L$2+$M$2+$N$2+$O$2,IFERROR(INDEX(PROFORMA!$A:$K,ROW()-1-$L$2-$M$2-$N$2+1,5),""),"")))))</f>
        <v>cloze_ab</v>
      </c>
      <c r="F129" s="3">
        <f>IF(ROW()-1&lt;=0,"",IF(ROW()-1&lt;=$L$2,IFERROR(INDEX(MCQ!$A:$K,ROW()-1+1,6),""),IF(ROW()-1&lt;=$L$2+$M$2,IFERROR(INDEX(CLOZE_AB!$A:$K,ROW()-1-$L$2+1,6),""),IF(ROW()-1&lt;=$L$2+$M$2+$N$2,IFERROR(INDEX(CLOZE_LIST!$A:$K,ROW()-1-$L$2-$M$2+1,6),""),IF(ROW()-1&lt;=$L$2+$M$2+$N$2+$O$2,IFERROR(INDEX(PROFORMA!$A:$K,ROW()-1-$L$2-$M$2-$N$2+1,6),""),"")))))</f>
        <v>3</v>
      </c>
      <c r="G129" s="3">
        <f>IF(ROW()-1&lt;=0,"",IF(ROW()-1&lt;=$L$2,IFERROR(INDEX(MCQ!$A:$K,ROW()-1+1,7),""),IF(ROW()-1&lt;=$L$2+$M$2,IFERROR(INDEX(CLOZE_AB!$A:$K,ROW()-1-$L$2+1,7),""),IF(ROW()-1&lt;=$L$2+$M$2+$N$2,IFERROR(INDEX(CLOZE_LIST!$A:$K,ROW()-1-$L$2-$M$2+1,7),""),IF(ROW()-1&lt;=$L$2+$M$2+$N$2+$O$2,IFERROR(INDEX(PROFORMA!$A:$K,ROW()-1-$L$2-$M$2-$N$2+1,7),""),"")))))</f>
        <v>0</v>
      </c>
      <c r="H129" s="3" t="str">
        <f>IF(ROW()-1&lt;=0,"",IF(ROW()-1&lt;=$L$2,IFERROR(INDEX(MCQ!$A:$K,ROW()-1+1,8),""),IF(ROW()-1&lt;=$L$2+$M$2,IFERROR(INDEX(CLOZE_AB!$A:$K,ROW()-1-$L$2+1,8),""),IF(ROW()-1&lt;=$L$2+$M$2+$N$2,IFERROR(INDEX(CLOZE_LIST!$A:$K,ROW()-1-$L$2-$M$2+1,8),""),IF(ROW()-1&lt;=$L$2+$M$2+$N$2+$O$2,IFERROR(INDEX(PROFORMA!$A:$K,ROW()-1-$L$2-$M$2-$N$2+1,8),""),"")))))</f>
        <v>Y</v>
      </c>
      <c r="I129" s="3" t="str">
        <f>IF(ROW()-1&lt;=0,"",IF(ROW()-1&lt;=$L$2,IFERROR(INDEX(MCQ!$A:$K,ROW()-1+1,9),""),IF(ROW()-1&lt;=$L$2+$M$2,IFERROR(INDEX(CLOZE_AB!$A:$K,ROW()-1-$L$2+1,9),""),IF(ROW()-1&lt;=$L$2+$M$2+$N$2,IFERROR(INDEX(CLOZE_LIST!$A:$K,ROW()-1-$L$2-$M$2+1,9),""),IF(ROW()-1&lt;=$L$2+$M$2+$N$2+$O$2,IFERROR(INDEX(PROFORMA!$A:$K,ROW()-1-$L$2-$M$2-$N$2+1,9),""),"")))))</f>
        <v>seis|criteria</v>
      </c>
      <c r="J129" s="3" t="str">
        <f>IF(ROW()-1&lt;=0,"",IF(ROW()-1&lt;=$L$2,IFERROR(INDEX(MCQ!$A:$K,ROW()-1+1,10),""),IF(ROW()-1&lt;=$L$2+$M$2,IFERROR(INDEX(CLOZE_AB!$A:$K,ROW()-1-$L$2+1,10),""),IF(ROW()-1&lt;=$L$2+$M$2+$N$2,IFERROR(INDEX(CLOZE_LIST!$A:$K,ROW()-1-$L$2-$M$2+1,10),""),IF(ROW()-1&lt;=$L$2+$M$2+$N$2+$O$2,IFERROR(INDEX(PROFORMA!$A:$K,ROW()-1-$L$2-$M$2-$N$2+1,10),""),"")))))</f>
        <v>user_notes</v>
      </c>
      <c r="K129" s="3">
        <f>IF(ROW()-1&lt;=0,"",IF(ROW()-1&lt;=$L$2,IFERROR(INDEX(MCQ!$A:$K,ROW()-1+1,11),""),IF(ROW()-1&lt;=$L$2+$M$2,IFERROR(INDEX(CLOZE_AB!$A:$K,ROW()-1-$L$2+1,11),""),IF(ROW()-1&lt;=$L$2+$M$2+$N$2,IFERROR(INDEX(CLOZE_LIST!$A:$K,ROW()-1-$L$2-$M$2+1,11),""),IF(ROW()-1&lt;=$L$2+$M$2+$N$2+$O$2,IFERROR(INDEX(PROFORMA!$A:$K,ROW()-1-$L$2-$M$2-$N$2+1,11),""),"")))))</f>
        <v>1</v>
      </c>
      <c r="L129" s="3">
        <f>COUNTA(MCQ!$A:$A)-1</f>
        <v>122</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AB_ITNIC_REQ_INVSCHEME_007</v>
      </c>
      <c r="B130" s="3" t="str">
        <f>IF(ROW()-1&lt;=0,"",IF(ROW()-1&lt;=$L$2,IFERROR(INDEX(MCQ!$A:$K,ROW()-1+1,2),""),IF(ROW()-1&lt;=$L$2+$M$2,IFERROR(INDEX(CLOZE_AB!$A:$K,ROW()-1-$L$2+1,2),""),IF(ROW()-1&lt;=$L$2+$M$2+$N$2,IFERROR(INDEX(CLOZE_LIST!$A:$K,ROW()-1-$L$2-$M$2+1,2),""),IF(ROW()-1&lt;=$L$2+$M$2+$N$2+$O$2,IFERROR(INDEX(PROFORMA!$A:$K,ROW()-1-$L$2-$M$2-$N$2+1,2),""),"")))))</f>
        <v>Income tax &amp; NIC</v>
      </c>
      <c r="C130" s="3" t="str">
        <f>IF(ROW()-1&lt;=0,"",IF(ROW()-1&lt;=$L$2,IFERROR(INDEX(MCQ!$A:$K,ROW()-1+1,3),""),IF(ROW()-1&lt;=$L$2+$M$2,IFERROR(INDEX(CLOZE_AB!$A:$K,ROW()-1-$L$2+1,3),""),IF(ROW()-1&lt;=$L$2+$M$2+$N$2,IFERROR(INDEX(CLOZE_LIST!$A:$K,ROW()-1-$L$2-$M$2+1,3),""),IF(ROW()-1&lt;=$L$2+$M$2+$N$2+$O$2,IFERROR(INDEX(PROFORMA!$A:$K,ROW()-1-$L$2-$M$2-$N$2+1,3),""),"")))))</f>
        <v>requirements</v>
      </c>
      <c r="D130" s="3" t="str">
        <f>IF(ROW()-1&lt;=0,"",IF(ROW()-1&lt;=$L$2,IFERROR(INDEX(MCQ!$A:$K,ROW()-1+1,4),""),IF(ROW()-1&lt;=$L$2+$M$2,IFERROR(INDEX(CLOZE_AB!$A:$K,ROW()-1-$L$2+1,4),""),IF(ROW()-1&lt;=$L$2+$M$2+$N$2,IFERROR(INDEX(CLOZE_LIST!$A:$K,ROW()-1-$L$2-$M$2+1,4),""),IF(ROW()-1&lt;=$L$2+$M$2+$N$2+$O$2,IFERROR(INDEX(PROFORMA!$A:$K,ROW()-1-$L$2-$M$2-$N$2+1,4),""),"")))))</f>
        <v>Tax efficient investments</v>
      </c>
      <c r="E130" s="3" t="str">
        <f>IF(ROW()-1&lt;=0,"",IF(ROW()-1&lt;=$L$2,IFERROR(INDEX(MCQ!$A:$K,ROW()-1+1,5),""),IF(ROW()-1&lt;=$L$2+$M$2,IFERROR(INDEX(CLOZE_AB!$A:$K,ROW()-1-$L$2+1,5),""),IF(ROW()-1&lt;=$L$2+$M$2+$N$2,IFERROR(INDEX(CLOZE_LIST!$A:$K,ROW()-1-$L$2-$M$2+1,5),""),IF(ROW()-1&lt;=$L$2+$M$2+$N$2+$O$2,IFERROR(INDEX(PROFORMA!$A:$K,ROW()-1-$L$2-$M$2-$N$2+1,5),""),"")))))</f>
        <v>cloze_ab</v>
      </c>
      <c r="F130" s="3">
        <f>IF(ROW()-1&lt;=0,"",IF(ROW()-1&lt;=$L$2,IFERROR(INDEX(MCQ!$A:$K,ROW()-1+1,6),""),IF(ROW()-1&lt;=$L$2+$M$2,IFERROR(INDEX(CLOZE_AB!$A:$K,ROW()-1-$L$2+1,6),""),IF(ROW()-1&lt;=$L$2+$M$2+$N$2,IFERROR(INDEX(CLOZE_LIST!$A:$K,ROW()-1-$L$2-$M$2+1,6),""),IF(ROW()-1&lt;=$L$2+$M$2+$N$2+$O$2,IFERROR(INDEX(PROFORMA!$A:$K,ROW()-1-$L$2-$M$2-$N$2+1,6),""),"")))))</f>
        <v>3</v>
      </c>
      <c r="G130" s="3">
        <f>IF(ROW()-1&lt;=0,"",IF(ROW()-1&lt;=$L$2,IFERROR(INDEX(MCQ!$A:$K,ROW()-1+1,7),""),IF(ROW()-1&lt;=$L$2+$M$2,IFERROR(INDEX(CLOZE_AB!$A:$K,ROW()-1-$L$2+1,7),""),IF(ROW()-1&lt;=$L$2+$M$2+$N$2,IFERROR(INDEX(CLOZE_LIST!$A:$K,ROW()-1-$L$2-$M$2+1,7),""),IF(ROW()-1&lt;=$L$2+$M$2+$N$2+$O$2,IFERROR(INDEX(PROFORMA!$A:$K,ROW()-1-$L$2-$M$2-$N$2+1,7),""),"")))))</f>
        <v>0</v>
      </c>
      <c r="H130" s="3" t="str">
        <f>IF(ROW()-1&lt;=0,"",IF(ROW()-1&lt;=$L$2,IFERROR(INDEX(MCQ!$A:$K,ROW()-1+1,8),""),IF(ROW()-1&lt;=$L$2+$M$2,IFERROR(INDEX(CLOZE_AB!$A:$K,ROW()-1-$L$2+1,8),""),IF(ROW()-1&lt;=$L$2+$M$2+$N$2,IFERROR(INDEX(CLOZE_LIST!$A:$K,ROW()-1-$L$2-$M$2+1,8),""),IF(ROW()-1&lt;=$L$2+$M$2+$N$2+$O$2,IFERROR(INDEX(PROFORMA!$A:$K,ROW()-1-$L$2-$M$2-$N$2+1,8),""),"")))))</f>
        <v>Y</v>
      </c>
      <c r="I130" s="3" t="str">
        <f>IF(ROW()-1&lt;=0,"",IF(ROW()-1&lt;=$L$2,IFERROR(INDEX(MCQ!$A:$K,ROW()-1+1,9),""),IF(ROW()-1&lt;=$L$2+$M$2,IFERROR(INDEX(CLOZE_AB!$A:$K,ROW()-1-$L$2+1,9),""),IF(ROW()-1&lt;=$L$2+$M$2+$N$2,IFERROR(INDEX(CLOZE_LIST!$A:$K,ROW()-1-$L$2-$M$2+1,9),""),IF(ROW()-1&lt;=$L$2+$M$2+$N$2+$O$2,IFERROR(INDEX(PROFORMA!$A:$K,ROW()-1-$L$2-$M$2-$N$2+1,9),""),"")))))</f>
        <v>vct|relief</v>
      </c>
      <c r="J130" s="3" t="str">
        <f>IF(ROW()-1&lt;=0,"",IF(ROW()-1&lt;=$L$2,IFERROR(INDEX(MCQ!$A:$K,ROW()-1+1,10),""),IF(ROW()-1&lt;=$L$2+$M$2,IFERROR(INDEX(CLOZE_AB!$A:$K,ROW()-1-$L$2+1,10),""),IF(ROW()-1&lt;=$L$2+$M$2+$N$2,IFERROR(INDEX(CLOZE_LIST!$A:$K,ROW()-1-$L$2-$M$2+1,10),""),IF(ROW()-1&lt;=$L$2+$M$2+$N$2+$O$2,IFERROR(INDEX(PROFORMA!$A:$K,ROW()-1-$L$2-$M$2-$N$2+1,10),""),"")))))</f>
        <v>user_notes</v>
      </c>
      <c r="K130" s="3">
        <f>IF(ROW()-1&lt;=0,"",IF(ROW()-1&lt;=$L$2,IFERROR(INDEX(MCQ!$A:$K,ROW()-1+1,11),""),IF(ROW()-1&lt;=$L$2+$M$2,IFERROR(INDEX(CLOZE_AB!$A:$K,ROW()-1-$L$2+1,11),""),IF(ROW()-1&lt;=$L$2+$M$2+$N$2,IFERROR(INDEX(CLOZE_LIST!$A:$K,ROW()-1-$L$2-$M$2+1,11),""),IF(ROW()-1&lt;=$L$2+$M$2+$N$2+$O$2,IFERROR(INDEX(PROFORMA!$A:$K,ROW()-1-$L$2-$M$2-$N$2+1,11),""),"")))))</f>
        <v>1</v>
      </c>
      <c r="L130" s="3">
        <f>COUNTA(MCQ!$A:$A)-1</f>
        <v>122</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AB_ITNIC_REQ_INVSCHEME_008</v>
      </c>
      <c r="B131" s="3" t="str">
        <f>IF(ROW()-1&lt;=0,"",IF(ROW()-1&lt;=$L$2,IFERROR(INDEX(MCQ!$A:$K,ROW()-1+1,2),""),IF(ROW()-1&lt;=$L$2+$M$2,IFERROR(INDEX(CLOZE_AB!$A:$K,ROW()-1-$L$2+1,2),""),IF(ROW()-1&lt;=$L$2+$M$2+$N$2,IFERROR(INDEX(CLOZE_LIST!$A:$K,ROW()-1-$L$2-$M$2+1,2),""),IF(ROW()-1&lt;=$L$2+$M$2+$N$2+$O$2,IFERROR(INDEX(PROFORMA!$A:$K,ROW()-1-$L$2-$M$2-$N$2+1,2),""),"")))))</f>
        <v>Income tax &amp; NIC</v>
      </c>
      <c r="C131" s="3" t="str">
        <f>IF(ROW()-1&lt;=0,"",IF(ROW()-1&lt;=$L$2,IFERROR(INDEX(MCQ!$A:$K,ROW()-1+1,3),""),IF(ROW()-1&lt;=$L$2+$M$2,IFERROR(INDEX(CLOZE_AB!$A:$K,ROW()-1-$L$2+1,3),""),IF(ROW()-1&lt;=$L$2+$M$2+$N$2,IFERROR(INDEX(CLOZE_LIST!$A:$K,ROW()-1-$L$2-$M$2+1,3),""),IF(ROW()-1&lt;=$L$2+$M$2+$N$2+$O$2,IFERROR(INDEX(PROFORMA!$A:$K,ROW()-1-$L$2-$M$2-$N$2+1,3),""),"")))))</f>
        <v>requirements</v>
      </c>
      <c r="D131" s="3" t="str">
        <f>IF(ROW()-1&lt;=0,"",IF(ROW()-1&lt;=$L$2,IFERROR(INDEX(MCQ!$A:$K,ROW()-1+1,4),""),IF(ROW()-1&lt;=$L$2+$M$2,IFERROR(INDEX(CLOZE_AB!$A:$K,ROW()-1-$L$2+1,4),""),IF(ROW()-1&lt;=$L$2+$M$2+$N$2,IFERROR(INDEX(CLOZE_LIST!$A:$K,ROW()-1-$L$2-$M$2+1,4),""),IF(ROW()-1&lt;=$L$2+$M$2+$N$2+$O$2,IFERROR(INDEX(PROFORMA!$A:$K,ROW()-1-$L$2-$M$2-$N$2+1,4),""),"")))))</f>
        <v>Tax efficient investments</v>
      </c>
      <c r="E131" s="3" t="str">
        <f>IF(ROW()-1&lt;=0,"",IF(ROW()-1&lt;=$L$2,IFERROR(INDEX(MCQ!$A:$K,ROW()-1+1,5),""),IF(ROW()-1&lt;=$L$2+$M$2,IFERROR(INDEX(CLOZE_AB!$A:$K,ROW()-1-$L$2+1,5),""),IF(ROW()-1&lt;=$L$2+$M$2+$N$2,IFERROR(INDEX(CLOZE_LIST!$A:$K,ROW()-1-$L$2-$M$2+1,5),""),IF(ROW()-1&lt;=$L$2+$M$2+$N$2+$O$2,IFERROR(INDEX(PROFORMA!$A:$K,ROW()-1-$L$2-$M$2-$N$2+1,5),""),"")))))</f>
        <v>cloze_ab</v>
      </c>
      <c r="F131" s="3">
        <f>IF(ROW()-1&lt;=0,"",IF(ROW()-1&lt;=$L$2,IFERROR(INDEX(MCQ!$A:$K,ROW()-1+1,6),""),IF(ROW()-1&lt;=$L$2+$M$2,IFERROR(INDEX(CLOZE_AB!$A:$K,ROW()-1-$L$2+1,6),""),IF(ROW()-1&lt;=$L$2+$M$2+$N$2,IFERROR(INDEX(CLOZE_LIST!$A:$K,ROW()-1-$L$2-$M$2+1,6),""),IF(ROW()-1&lt;=$L$2+$M$2+$N$2+$O$2,IFERROR(INDEX(PROFORMA!$A:$K,ROW()-1-$L$2-$M$2-$N$2+1,6),""),"")))))</f>
        <v>3</v>
      </c>
      <c r="G131" s="3">
        <f>IF(ROW()-1&lt;=0,"",IF(ROW()-1&lt;=$L$2,IFERROR(INDEX(MCQ!$A:$K,ROW()-1+1,7),""),IF(ROW()-1&lt;=$L$2+$M$2,IFERROR(INDEX(CLOZE_AB!$A:$K,ROW()-1-$L$2+1,7),""),IF(ROW()-1&lt;=$L$2+$M$2+$N$2,IFERROR(INDEX(CLOZE_LIST!$A:$K,ROW()-1-$L$2-$M$2+1,7),""),IF(ROW()-1&lt;=$L$2+$M$2+$N$2+$O$2,IFERROR(INDEX(PROFORMA!$A:$K,ROW()-1-$L$2-$M$2-$N$2+1,7),""),"")))))</f>
        <v>0</v>
      </c>
      <c r="H131" s="3" t="str">
        <f>IF(ROW()-1&lt;=0,"",IF(ROW()-1&lt;=$L$2,IFERROR(INDEX(MCQ!$A:$K,ROW()-1+1,8),""),IF(ROW()-1&lt;=$L$2+$M$2,IFERROR(INDEX(CLOZE_AB!$A:$K,ROW()-1-$L$2+1,8),""),IF(ROW()-1&lt;=$L$2+$M$2+$N$2,IFERROR(INDEX(CLOZE_LIST!$A:$K,ROW()-1-$L$2-$M$2+1,8),""),IF(ROW()-1&lt;=$L$2+$M$2+$N$2+$O$2,IFERROR(INDEX(PROFORMA!$A:$K,ROW()-1-$L$2-$M$2-$N$2+1,8),""),"")))))</f>
        <v>Y</v>
      </c>
      <c r="I131" s="3" t="str">
        <f>IF(ROW()-1&lt;=0,"",IF(ROW()-1&lt;=$L$2,IFERROR(INDEX(MCQ!$A:$K,ROW()-1+1,9),""),IF(ROW()-1&lt;=$L$2+$M$2,IFERROR(INDEX(CLOZE_AB!$A:$K,ROW()-1-$L$2+1,9),""),IF(ROW()-1&lt;=$L$2+$M$2+$N$2,IFERROR(INDEX(CLOZE_LIST!$A:$K,ROW()-1-$L$2-$M$2+1,9),""),IF(ROW()-1&lt;=$L$2+$M$2+$N$2+$O$2,IFERROR(INDEX(PROFORMA!$A:$K,ROW()-1-$L$2-$M$2-$N$2+1,9),""),"")))))</f>
        <v>vct|cgt</v>
      </c>
      <c r="J131" s="3" t="str">
        <f>IF(ROW()-1&lt;=0,"",IF(ROW()-1&lt;=$L$2,IFERROR(INDEX(MCQ!$A:$K,ROW()-1+1,10),""),IF(ROW()-1&lt;=$L$2+$M$2,IFERROR(INDEX(CLOZE_AB!$A:$K,ROW()-1-$L$2+1,10),""),IF(ROW()-1&lt;=$L$2+$M$2+$N$2,IFERROR(INDEX(CLOZE_LIST!$A:$K,ROW()-1-$L$2-$M$2+1,10),""),IF(ROW()-1&lt;=$L$2+$M$2+$N$2+$O$2,IFERROR(INDEX(PROFORMA!$A:$K,ROW()-1-$L$2-$M$2-$N$2+1,10),""),"")))))</f>
        <v>user_notes</v>
      </c>
      <c r="K131" s="3">
        <f>IF(ROW()-1&lt;=0,"",IF(ROW()-1&lt;=$L$2,IFERROR(INDEX(MCQ!$A:$K,ROW()-1+1,11),""),IF(ROW()-1&lt;=$L$2+$M$2,IFERROR(INDEX(CLOZE_AB!$A:$K,ROW()-1-$L$2+1,11),""),IF(ROW()-1&lt;=$L$2+$M$2+$N$2,IFERROR(INDEX(CLOZE_LIST!$A:$K,ROW()-1-$L$2-$M$2+1,11),""),IF(ROW()-1&lt;=$L$2+$M$2+$N$2+$O$2,IFERROR(INDEX(PROFORMA!$A:$K,ROW()-1-$L$2-$M$2-$N$2+1,11),""),"")))))</f>
        <v>1</v>
      </c>
      <c r="L131" s="3">
        <f>COUNTA(MCQ!$A:$A)-1</f>
        <v>122</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AB_ITNIC_REQ_INVSCHEME_009</v>
      </c>
      <c r="B132" s="3" t="str">
        <f>IF(ROW()-1&lt;=0,"",IF(ROW()-1&lt;=$L$2,IFERROR(INDEX(MCQ!$A:$K,ROW()-1+1,2),""),IF(ROW()-1&lt;=$L$2+$M$2,IFERROR(INDEX(CLOZE_AB!$A:$K,ROW()-1-$L$2+1,2),""),IF(ROW()-1&lt;=$L$2+$M$2+$N$2,IFERROR(INDEX(CLOZE_LIST!$A:$K,ROW()-1-$L$2-$M$2+1,2),""),IF(ROW()-1&lt;=$L$2+$M$2+$N$2+$O$2,IFERROR(INDEX(PROFORMA!$A:$K,ROW()-1-$L$2-$M$2-$N$2+1,2),""),"")))))</f>
        <v>Income tax &amp; NIC</v>
      </c>
      <c r="C132" s="3" t="str">
        <f>IF(ROW()-1&lt;=0,"",IF(ROW()-1&lt;=$L$2,IFERROR(INDEX(MCQ!$A:$K,ROW()-1+1,3),""),IF(ROW()-1&lt;=$L$2+$M$2,IFERROR(INDEX(CLOZE_AB!$A:$K,ROW()-1-$L$2+1,3),""),IF(ROW()-1&lt;=$L$2+$M$2+$N$2,IFERROR(INDEX(CLOZE_LIST!$A:$K,ROW()-1-$L$2-$M$2+1,3),""),IF(ROW()-1&lt;=$L$2+$M$2+$N$2+$O$2,IFERROR(INDEX(PROFORMA!$A:$K,ROW()-1-$L$2-$M$2-$N$2+1,3),""),"")))))</f>
        <v>requirements</v>
      </c>
      <c r="D132" s="3" t="str">
        <f>IF(ROW()-1&lt;=0,"",IF(ROW()-1&lt;=$L$2,IFERROR(INDEX(MCQ!$A:$K,ROW()-1+1,4),""),IF(ROW()-1&lt;=$L$2+$M$2,IFERROR(INDEX(CLOZE_AB!$A:$K,ROW()-1-$L$2+1,4),""),IF(ROW()-1&lt;=$L$2+$M$2+$N$2,IFERROR(INDEX(CLOZE_LIST!$A:$K,ROW()-1-$L$2-$M$2+1,4),""),IF(ROW()-1&lt;=$L$2+$M$2+$N$2+$O$2,IFERROR(INDEX(PROFORMA!$A:$K,ROW()-1-$L$2-$M$2-$N$2+1,4),""),"")))))</f>
        <v>Tax efficient investments</v>
      </c>
      <c r="E132" s="3" t="str">
        <f>IF(ROW()-1&lt;=0,"",IF(ROW()-1&lt;=$L$2,IFERROR(INDEX(MCQ!$A:$K,ROW()-1+1,5),""),IF(ROW()-1&lt;=$L$2+$M$2,IFERROR(INDEX(CLOZE_AB!$A:$K,ROW()-1-$L$2+1,5),""),IF(ROW()-1&lt;=$L$2+$M$2+$N$2,IFERROR(INDEX(CLOZE_LIST!$A:$K,ROW()-1-$L$2-$M$2+1,5),""),IF(ROW()-1&lt;=$L$2+$M$2+$N$2+$O$2,IFERROR(INDEX(PROFORMA!$A:$K,ROW()-1-$L$2-$M$2-$N$2+1,5),""),"")))))</f>
        <v>cloze_ab</v>
      </c>
      <c r="F132" s="3">
        <f>IF(ROW()-1&lt;=0,"",IF(ROW()-1&lt;=$L$2,IFERROR(INDEX(MCQ!$A:$K,ROW()-1+1,6),""),IF(ROW()-1&lt;=$L$2+$M$2,IFERROR(INDEX(CLOZE_AB!$A:$K,ROW()-1-$L$2+1,6),""),IF(ROW()-1&lt;=$L$2+$M$2+$N$2,IFERROR(INDEX(CLOZE_LIST!$A:$K,ROW()-1-$L$2-$M$2+1,6),""),IF(ROW()-1&lt;=$L$2+$M$2+$N$2+$O$2,IFERROR(INDEX(PROFORMA!$A:$K,ROW()-1-$L$2-$M$2-$N$2+1,6),""),"")))))</f>
        <v>3</v>
      </c>
      <c r="G132" s="3">
        <f>IF(ROW()-1&lt;=0,"",IF(ROW()-1&lt;=$L$2,IFERROR(INDEX(MCQ!$A:$K,ROW()-1+1,7),""),IF(ROW()-1&lt;=$L$2+$M$2,IFERROR(INDEX(CLOZE_AB!$A:$K,ROW()-1-$L$2+1,7),""),IF(ROW()-1&lt;=$L$2+$M$2+$N$2,IFERROR(INDEX(CLOZE_LIST!$A:$K,ROW()-1-$L$2-$M$2+1,7),""),IF(ROW()-1&lt;=$L$2+$M$2+$N$2+$O$2,IFERROR(INDEX(PROFORMA!$A:$K,ROW()-1-$L$2-$M$2-$N$2+1,7),""),"")))))</f>
        <v>0</v>
      </c>
      <c r="H132" s="3" t="str">
        <f>IF(ROW()-1&lt;=0,"",IF(ROW()-1&lt;=$L$2,IFERROR(INDEX(MCQ!$A:$K,ROW()-1+1,8),""),IF(ROW()-1&lt;=$L$2+$M$2,IFERROR(INDEX(CLOZE_AB!$A:$K,ROW()-1-$L$2+1,8),""),IF(ROW()-1&lt;=$L$2+$M$2+$N$2,IFERROR(INDEX(CLOZE_LIST!$A:$K,ROW()-1-$L$2-$M$2+1,8),""),IF(ROW()-1&lt;=$L$2+$M$2+$N$2+$O$2,IFERROR(INDEX(PROFORMA!$A:$K,ROW()-1-$L$2-$M$2-$N$2+1,8),""),"")))))</f>
        <v>Y</v>
      </c>
      <c r="I132" s="3" t="str">
        <f>IF(ROW()-1&lt;=0,"",IF(ROW()-1&lt;=$L$2,IFERROR(INDEX(MCQ!$A:$K,ROW()-1+1,9),""),IF(ROW()-1&lt;=$L$2+$M$2,IFERROR(INDEX(CLOZE_AB!$A:$K,ROW()-1-$L$2+1,9),""),IF(ROW()-1&lt;=$L$2+$M$2+$N$2,IFERROR(INDEX(CLOZE_LIST!$A:$K,ROW()-1-$L$2-$M$2+1,9),""),IF(ROW()-1&lt;=$L$2+$M$2+$N$2+$O$2,IFERROR(INDEX(PROFORMA!$A:$K,ROW()-1-$L$2-$M$2-$N$2+1,9),""),"")))))</f>
        <v>ordering|reducers</v>
      </c>
      <c r="J132" s="3" t="str">
        <f>IF(ROW()-1&lt;=0,"",IF(ROW()-1&lt;=$L$2,IFERROR(INDEX(MCQ!$A:$K,ROW()-1+1,10),""),IF(ROW()-1&lt;=$L$2+$M$2,IFERROR(INDEX(CLOZE_AB!$A:$K,ROW()-1-$L$2+1,10),""),IF(ROW()-1&lt;=$L$2+$M$2+$N$2,IFERROR(INDEX(CLOZE_LIST!$A:$K,ROW()-1-$L$2-$M$2+1,10),""),IF(ROW()-1&lt;=$L$2+$M$2+$N$2+$O$2,IFERROR(INDEX(PROFORMA!$A:$K,ROW()-1-$L$2-$M$2-$N$2+1,10),""),"")))))</f>
        <v>user_notes</v>
      </c>
      <c r="K132" s="3">
        <f>IF(ROW()-1&lt;=0,"",IF(ROW()-1&lt;=$L$2,IFERROR(INDEX(MCQ!$A:$K,ROW()-1+1,11),""),IF(ROW()-1&lt;=$L$2+$M$2,IFERROR(INDEX(CLOZE_AB!$A:$K,ROW()-1-$L$2+1,11),""),IF(ROW()-1&lt;=$L$2+$M$2+$N$2,IFERROR(INDEX(CLOZE_LIST!$A:$K,ROW()-1-$L$2-$M$2+1,11),""),IF(ROW()-1&lt;=$L$2+$M$2+$N$2+$O$2,IFERROR(INDEX(PROFORMA!$A:$K,ROW()-1-$L$2-$M$2-$N$2+1,11),""),"")))))</f>
        <v>1</v>
      </c>
      <c r="L132" s="3">
        <f>COUNTA(MCQ!$A:$A)-1</f>
        <v>122</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AB_ITNIC_REQ_INVSCHEME_010</v>
      </c>
      <c r="B133" s="3" t="str">
        <f>IF(ROW()-1&lt;=0,"",IF(ROW()-1&lt;=$L$2,IFERROR(INDEX(MCQ!$A:$K,ROW()-1+1,2),""),IF(ROW()-1&lt;=$L$2+$M$2,IFERROR(INDEX(CLOZE_AB!$A:$K,ROW()-1-$L$2+1,2),""),IF(ROW()-1&lt;=$L$2+$M$2+$N$2,IFERROR(INDEX(CLOZE_LIST!$A:$K,ROW()-1-$L$2-$M$2+1,2),""),IF(ROW()-1&lt;=$L$2+$M$2+$N$2+$O$2,IFERROR(INDEX(PROFORMA!$A:$K,ROW()-1-$L$2-$M$2-$N$2+1,2),""),"")))))</f>
        <v>Income tax &amp; NIC</v>
      </c>
      <c r="C133" s="3" t="str">
        <f>IF(ROW()-1&lt;=0,"",IF(ROW()-1&lt;=$L$2,IFERROR(INDEX(MCQ!$A:$K,ROW()-1+1,3),""),IF(ROW()-1&lt;=$L$2+$M$2,IFERROR(INDEX(CLOZE_AB!$A:$K,ROW()-1-$L$2+1,3),""),IF(ROW()-1&lt;=$L$2+$M$2+$N$2,IFERROR(INDEX(CLOZE_LIST!$A:$K,ROW()-1-$L$2-$M$2+1,3),""),IF(ROW()-1&lt;=$L$2+$M$2+$N$2+$O$2,IFERROR(INDEX(PROFORMA!$A:$K,ROW()-1-$L$2-$M$2-$N$2+1,3),""),"")))))</f>
        <v>requirements</v>
      </c>
      <c r="D133" s="3" t="str">
        <f>IF(ROW()-1&lt;=0,"",IF(ROW()-1&lt;=$L$2,IFERROR(INDEX(MCQ!$A:$K,ROW()-1+1,4),""),IF(ROW()-1&lt;=$L$2+$M$2,IFERROR(INDEX(CLOZE_AB!$A:$K,ROW()-1-$L$2+1,4),""),IF(ROW()-1&lt;=$L$2+$M$2+$N$2,IFERROR(INDEX(CLOZE_LIST!$A:$K,ROW()-1-$L$2-$M$2+1,4),""),IF(ROW()-1&lt;=$L$2+$M$2+$N$2+$O$2,IFERROR(INDEX(PROFORMA!$A:$K,ROW()-1-$L$2-$M$2-$N$2+1,4),""),"")))))</f>
        <v>Tax efficient investments</v>
      </c>
      <c r="E133" s="3" t="str">
        <f>IF(ROW()-1&lt;=0,"",IF(ROW()-1&lt;=$L$2,IFERROR(INDEX(MCQ!$A:$K,ROW()-1+1,5),""),IF(ROW()-1&lt;=$L$2+$M$2,IFERROR(INDEX(CLOZE_AB!$A:$K,ROW()-1-$L$2+1,5),""),IF(ROW()-1&lt;=$L$2+$M$2+$N$2,IFERROR(INDEX(CLOZE_LIST!$A:$K,ROW()-1-$L$2-$M$2+1,5),""),IF(ROW()-1&lt;=$L$2+$M$2+$N$2+$O$2,IFERROR(INDEX(PROFORMA!$A:$K,ROW()-1-$L$2-$M$2-$N$2+1,5),""),"")))))</f>
        <v>cloze_ab</v>
      </c>
      <c r="F133" s="3">
        <f>IF(ROW()-1&lt;=0,"",IF(ROW()-1&lt;=$L$2,IFERROR(INDEX(MCQ!$A:$K,ROW()-1+1,6),""),IF(ROW()-1&lt;=$L$2+$M$2,IFERROR(INDEX(CLOZE_AB!$A:$K,ROW()-1-$L$2+1,6),""),IF(ROW()-1&lt;=$L$2+$M$2+$N$2,IFERROR(INDEX(CLOZE_LIST!$A:$K,ROW()-1-$L$2-$M$2+1,6),""),IF(ROW()-1&lt;=$L$2+$M$2+$N$2+$O$2,IFERROR(INDEX(PROFORMA!$A:$K,ROW()-1-$L$2-$M$2-$N$2+1,6),""),"")))))</f>
        <v>3</v>
      </c>
      <c r="G133" s="3">
        <f>IF(ROW()-1&lt;=0,"",IF(ROW()-1&lt;=$L$2,IFERROR(INDEX(MCQ!$A:$K,ROW()-1+1,7),""),IF(ROW()-1&lt;=$L$2+$M$2,IFERROR(INDEX(CLOZE_AB!$A:$K,ROW()-1-$L$2+1,7),""),IF(ROW()-1&lt;=$L$2+$M$2+$N$2,IFERROR(INDEX(CLOZE_LIST!$A:$K,ROW()-1-$L$2-$M$2+1,7),""),IF(ROW()-1&lt;=$L$2+$M$2+$N$2+$O$2,IFERROR(INDEX(PROFORMA!$A:$K,ROW()-1-$L$2-$M$2-$N$2+1,7),""),"")))))</f>
        <v>0</v>
      </c>
      <c r="H133" s="3" t="str">
        <f>IF(ROW()-1&lt;=0,"",IF(ROW()-1&lt;=$L$2,IFERROR(INDEX(MCQ!$A:$K,ROW()-1+1,8),""),IF(ROW()-1&lt;=$L$2+$M$2,IFERROR(INDEX(CLOZE_AB!$A:$K,ROW()-1-$L$2+1,8),""),IF(ROW()-1&lt;=$L$2+$M$2+$N$2,IFERROR(INDEX(CLOZE_LIST!$A:$K,ROW()-1-$L$2-$M$2+1,8),""),IF(ROW()-1&lt;=$L$2+$M$2+$N$2+$O$2,IFERROR(INDEX(PROFORMA!$A:$K,ROW()-1-$L$2-$M$2-$N$2+1,8),""),"")))))</f>
        <v>Y</v>
      </c>
      <c r="I133" s="3" t="str">
        <f>IF(ROW()-1&lt;=0,"",IF(ROW()-1&lt;=$L$2,IFERROR(INDEX(MCQ!$A:$K,ROW()-1+1,9),""),IF(ROW()-1&lt;=$L$2+$M$2,IFERROR(INDEX(CLOZE_AB!$A:$K,ROW()-1-$L$2+1,9),""),IF(ROW()-1&lt;=$L$2+$M$2+$N$2,IFERROR(INDEX(CLOZE_LIST!$A:$K,ROW()-1-$L$2-$M$2+1,9),""),IF(ROW()-1&lt;=$L$2+$M$2+$N$2+$O$2,IFERROR(INDEX(PROFORMA!$A:$K,ROW()-1-$L$2-$M$2-$N$2+1,9),""),"")))))</f>
        <v>timing|reinvestment</v>
      </c>
      <c r="J133" s="3" t="str">
        <f>IF(ROW()-1&lt;=0,"",IF(ROW()-1&lt;=$L$2,IFERROR(INDEX(MCQ!$A:$K,ROW()-1+1,10),""),IF(ROW()-1&lt;=$L$2+$M$2,IFERROR(INDEX(CLOZE_AB!$A:$K,ROW()-1-$L$2+1,10),""),IF(ROW()-1&lt;=$L$2+$M$2+$N$2,IFERROR(INDEX(CLOZE_LIST!$A:$K,ROW()-1-$L$2-$M$2+1,10),""),IF(ROW()-1&lt;=$L$2+$M$2+$N$2+$O$2,IFERROR(INDEX(PROFORMA!$A:$K,ROW()-1-$L$2-$M$2-$N$2+1,10),""),"")))))</f>
        <v>user_notes</v>
      </c>
      <c r="K133" s="3">
        <f>IF(ROW()-1&lt;=0,"",IF(ROW()-1&lt;=$L$2,IFERROR(INDEX(MCQ!$A:$K,ROW()-1+1,11),""),IF(ROW()-1&lt;=$L$2+$M$2,IFERROR(INDEX(CLOZE_AB!$A:$K,ROW()-1-$L$2+1,11),""),IF(ROW()-1&lt;=$L$2+$M$2+$N$2,IFERROR(INDEX(CLOZE_LIST!$A:$K,ROW()-1-$L$2-$M$2+1,11),""),IF(ROW()-1&lt;=$L$2+$M$2+$N$2+$O$2,IFERROR(INDEX(PROFORMA!$A:$K,ROW()-1-$L$2-$M$2-$N$2+1,11),""),"")))))</f>
        <v>1</v>
      </c>
      <c r="L133" s="3">
        <f>COUNTA(MCQ!$A:$A)-1</f>
        <v>122</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AB_ITNIC_REQ_INVSCHEME_011</v>
      </c>
      <c r="B134" s="3" t="str">
        <f>IF(ROW()-1&lt;=0,"",IF(ROW()-1&lt;=$L$2,IFERROR(INDEX(MCQ!$A:$K,ROW()-1+1,2),""),IF(ROW()-1&lt;=$L$2+$M$2,IFERROR(INDEX(CLOZE_AB!$A:$K,ROW()-1-$L$2+1,2),""),IF(ROW()-1&lt;=$L$2+$M$2+$N$2,IFERROR(INDEX(CLOZE_LIST!$A:$K,ROW()-1-$L$2-$M$2+1,2),""),IF(ROW()-1&lt;=$L$2+$M$2+$N$2+$O$2,IFERROR(INDEX(PROFORMA!$A:$K,ROW()-1-$L$2-$M$2-$N$2+1,2),""),"")))))</f>
        <v>Income tax &amp; NIC</v>
      </c>
      <c r="C134" s="3" t="str">
        <f>IF(ROW()-1&lt;=0,"",IF(ROW()-1&lt;=$L$2,IFERROR(INDEX(MCQ!$A:$K,ROW()-1+1,3),""),IF(ROW()-1&lt;=$L$2+$M$2,IFERROR(INDEX(CLOZE_AB!$A:$K,ROW()-1-$L$2+1,3),""),IF(ROW()-1&lt;=$L$2+$M$2+$N$2,IFERROR(INDEX(CLOZE_LIST!$A:$K,ROW()-1-$L$2-$M$2+1,3),""),IF(ROW()-1&lt;=$L$2+$M$2+$N$2+$O$2,IFERROR(INDEX(PROFORMA!$A:$K,ROW()-1-$L$2-$M$2-$N$2+1,3),""),"")))))</f>
        <v>requirements</v>
      </c>
      <c r="D134" s="3" t="str">
        <f>IF(ROW()-1&lt;=0,"",IF(ROW()-1&lt;=$L$2,IFERROR(INDEX(MCQ!$A:$K,ROW()-1+1,4),""),IF(ROW()-1&lt;=$L$2+$M$2,IFERROR(INDEX(CLOZE_AB!$A:$K,ROW()-1-$L$2+1,4),""),IF(ROW()-1&lt;=$L$2+$M$2+$N$2,IFERROR(INDEX(CLOZE_LIST!$A:$K,ROW()-1-$L$2-$M$2+1,4),""),IF(ROW()-1&lt;=$L$2+$M$2+$N$2+$O$2,IFERROR(INDEX(PROFORMA!$A:$K,ROW()-1-$L$2-$M$2-$N$2+1,4),""),"")))))</f>
        <v>Tax efficient investments</v>
      </c>
      <c r="E134" s="3" t="str">
        <f>IF(ROW()-1&lt;=0,"",IF(ROW()-1&lt;=$L$2,IFERROR(INDEX(MCQ!$A:$K,ROW()-1+1,5),""),IF(ROW()-1&lt;=$L$2+$M$2,IFERROR(INDEX(CLOZE_AB!$A:$K,ROW()-1-$L$2+1,5),""),IF(ROW()-1&lt;=$L$2+$M$2+$N$2,IFERROR(INDEX(CLOZE_LIST!$A:$K,ROW()-1-$L$2-$M$2+1,5),""),IF(ROW()-1&lt;=$L$2+$M$2+$N$2+$O$2,IFERROR(INDEX(PROFORMA!$A:$K,ROW()-1-$L$2-$M$2-$N$2+1,5),""),"")))))</f>
        <v>cloze_ab</v>
      </c>
      <c r="F134" s="3">
        <f>IF(ROW()-1&lt;=0,"",IF(ROW()-1&lt;=$L$2,IFERROR(INDEX(MCQ!$A:$K,ROW()-1+1,6),""),IF(ROW()-1&lt;=$L$2+$M$2,IFERROR(INDEX(CLOZE_AB!$A:$K,ROW()-1-$L$2+1,6),""),IF(ROW()-1&lt;=$L$2+$M$2+$N$2,IFERROR(INDEX(CLOZE_LIST!$A:$K,ROW()-1-$L$2-$M$2+1,6),""),IF(ROW()-1&lt;=$L$2+$M$2+$N$2+$O$2,IFERROR(INDEX(PROFORMA!$A:$K,ROW()-1-$L$2-$M$2-$N$2+1,6),""),"")))))</f>
        <v>3</v>
      </c>
      <c r="G134" s="3">
        <f>IF(ROW()-1&lt;=0,"",IF(ROW()-1&lt;=$L$2,IFERROR(INDEX(MCQ!$A:$K,ROW()-1+1,7),""),IF(ROW()-1&lt;=$L$2+$M$2,IFERROR(INDEX(CLOZE_AB!$A:$K,ROW()-1-$L$2+1,7),""),IF(ROW()-1&lt;=$L$2+$M$2+$N$2,IFERROR(INDEX(CLOZE_LIST!$A:$K,ROW()-1-$L$2-$M$2+1,7),""),IF(ROW()-1&lt;=$L$2+$M$2+$N$2+$O$2,IFERROR(INDEX(PROFORMA!$A:$K,ROW()-1-$L$2-$M$2-$N$2+1,7),""),"")))))</f>
        <v>0</v>
      </c>
      <c r="H134" s="3" t="str">
        <f>IF(ROW()-1&lt;=0,"",IF(ROW()-1&lt;=$L$2,IFERROR(INDEX(MCQ!$A:$K,ROW()-1+1,8),""),IF(ROW()-1&lt;=$L$2+$M$2,IFERROR(INDEX(CLOZE_AB!$A:$K,ROW()-1-$L$2+1,8),""),IF(ROW()-1&lt;=$L$2+$M$2+$N$2,IFERROR(INDEX(CLOZE_LIST!$A:$K,ROW()-1-$L$2-$M$2+1,8),""),IF(ROW()-1&lt;=$L$2+$M$2+$N$2+$O$2,IFERROR(INDEX(PROFORMA!$A:$K,ROW()-1-$L$2-$M$2-$N$2+1,8),""),"")))))</f>
        <v>Y</v>
      </c>
      <c r="I134" s="3" t="str">
        <f>IF(ROW()-1&lt;=0,"",IF(ROW()-1&lt;=$L$2,IFERROR(INDEX(MCQ!$A:$K,ROW()-1+1,9),""),IF(ROW()-1&lt;=$L$2+$M$2,IFERROR(INDEX(CLOZE_AB!$A:$K,ROW()-1-$L$2+1,9),""),IF(ROW()-1&lt;=$L$2+$M$2+$N$2,IFERROR(INDEX(CLOZE_LIST!$A:$K,ROW()-1-$L$2-$M$2+1,9),""),IF(ROW()-1&lt;=$L$2+$M$2+$N$2+$O$2,IFERROR(INDEX(PROFORMA!$A:$K,ROW()-1-$L$2-$M$2-$N$2+1,9),""),"")))))</f>
        <v>timing|seis</v>
      </c>
      <c r="J134" s="3" t="str">
        <f>IF(ROW()-1&lt;=0,"",IF(ROW()-1&lt;=$L$2,IFERROR(INDEX(MCQ!$A:$K,ROW()-1+1,10),""),IF(ROW()-1&lt;=$L$2+$M$2,IFERROR(INDEX(CLOZE_AB!$A:$K,ROW()-1-$L$2+1,10),""),IF(ROW()-1&lt;=$L$2+$M$2+$N$2,IFERROR(INDEX(CLOZE_LIST!$A:$K,ROW()-1-$L$2-$M$2+1,10),""),IF(ROW()-1&lt;=$L$2+$M$2+$N$2+$O$2,IFERROR(INDEX(PROFORMA!$A:$K,ROW()-1-$L$2-$M$2-$N$2+1,10),""),"")))))</f>
        <v>user_notes</v>
      </c>
      <c r="K134" s="3">
        <f>IF(ROW()-1&lt;=0,"",IF(ROW()-1&lt;=$L$2,IFERROR(INDEX(MCQ!$A:$K,ROW()-1+1,11),""),IF(ROW()-1&lt;=$L$2+$M$2,IFERROR(INDEX(CLOZE_AB!$A:$K,ROW()-1-$L$2+1,11),""),IF(ROW()-1&lt;=$L$2+$M$2+$N$2,IFERROR(INDEX(CLOZE_LIST!$A:$K,ROW()-1-$L$2-$M$2+1,11),""),IF(ROW()-1&lt;=$L$2+$M$2+$N$2+$O$2,IFERROR(INDEX(PROFORMA!$A:$K,ROW()-1-$L$2-$M$2-$N$2+1,11),""),"")))))</f>
        <v>1</v>
      </c>
      <c r="L134" s="3">
        <f>COUNTA(MCQ!$A:$A)-1</f>
        <v>122</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AB_ITNIC_REQ_INVSCHEME_012</v>
      </c>
      <c r="B135" s="3" t="str">
        <f>IF(ROW()-1&lt;=0,"",IF(ROW()-1&lt;=$L$2,IFERROR(INDEX(MCQ!$A:$K,ROW()-1+1,2),""),IF(ROW()-1&lt;=$L$2+$M$2,IFERROR(INDEX(CLOZE_AB!$A:$K,ROW()-1-$L$2+1,2),""),IF(ROW()-1&lt;=$L$2+$M$2+$N$2,IFERROR(INDEX(CLOZE_LIST!$A:$K,ROW()-1-$L$2-$M$2+1,2),""),IF(ROW()-1&lt;=$L$2+$M$2+$N$2+$O$2,IFERROR(INDEX(PROFORMA!$A:$K,ROW()-1-$L$2-$M$2-$N$2+1,2),""),"")))))</f>
        <v>Income tax &amp; NIC</v>
      </c>
      <c r="C135" s="3" t="str">
        <f>IF(ROW()-1&lt;=0,"",IF(ROW()-1&lt;=$L$2,IFERROR(INDEX(MCQ!$A:$K,ROW()-1+1,3),""),IF(ROW()-1&lt;=$L$2+$M$2,IFERROR(INDEX(CLOZE_AB!$A:$K,ROW()-1-$L$2+1,3),""),IF(ROW()-1&lt;=$L$2+$M$2+$N$2,IFERROR(INDEX(CLOZE_LIST!$A:$K,ROW()-1-$L$2-$M$2+1,3),""),IF(ROW()-1&lt;=$L$2+$M$2+$N$2+$O$2,IFERROR(INDEX(PROFORMA!$A:$K,ROW()-1-$L$2-$M$2-$N$2+1,3),""),"")))))</f>
        <v>requirements</v>
      </c>
      <c r="D135" s="3" t="str">
        <f>IF(ROW()-1&lt;=0,"",IF(ROW()-1&lt;=$L$2,IFERROR(INDEX(MCQ!$A:$K,ROW()-1+1,4),""),IF(ROW()-1&lt;=$L$2+$M$2,IFERROR(INDEX(CLOZE_AB!$A:$K,ROW()-1-$L$2+1,4),""),IF(ROW()-1&lt;=$L$2+$M$2+$N$2,IFERROR(INDEX(CLOZE_LIST!$A:$K,ROW()-1-$L$2-$M$2+1,4),""),IF(ROW()-1&lt;=$L$2+$M$2+$N$2+$O$2,IFERROR(INDEX(PROFORMA!$A:$K,ROW()-1-$L$2-$M$2-$N$2+1,4),""),"")))))</f>
        <v>Tax efficient investments</v>
      </c>
      <c r="E135" s="3" t="str">
        <f>IF(ROW()-1&lt;=0,"",IF(ROW()-1&lt;=$L$2,IFERROR(INDEX(MCQ!$A:$K,ROW()-1+1,5),""),IF(ROW()-1&lt;=$L$2+$M$2,IFERROR(INDEX(CLOZE_AB!$A:$K,ROW()-1-$L$2+1,5),""),IF(ROW()-1&lt;=$L$2+$M$2+$N$2,IFERROR(INDEX(CLOZE_LIST!$A:$K,ROW()-1-$L$2-$M$2+1,5),""),IF(ROW()-1&lt;=$L$2+$M$2+$N$2+$O$2,IFERROR(INDEX(PROFORMA!$A:$K,ROW()-1-$L$2-$M$2-$N$2+1,5),""),"")))))</f>
        <v>cloze_ab</v>
      </c>
      <c r="F135" s="3">
        <f>IF(ROW()-1&lt;=0,"",IF(ROW()-1&lt;=$L$2,IFERROR(INDEX(MCQ!$A:$K,ROW()-1+1,6),""),IF(ROW()-1&lt;=$L$2+$M$2,IFERROR(INDEX(CLOZE_AB!$A:$K,ROW()-1-$L$2+1,6),""),IF(ROW()-1&lt;=$L$2+$M$2+$N$2,IFERROR(INDEX(CLOZE_LIST!$A:$K,ROW()-1-$L$2-$M$2+1,6),""),IF(ROW()-1&lt;=$L$2+$M$2+$N$2+$O$2,IFERROR(INDEX(PROFORMA!$A:$K,ROW()-1-$L$2-$M$2-$N$2+1,6),""),"")))))</f>
        <v>3</v>
      </c>
      <c r="G135" s="3">
        <f>IF(ROW()-1&lt;=0,"",IF(ROW()-1&lt;=$L$2,IFERROR(INDEX(MCQ!$A:$K,ROW()-1+1,7),""),IF(ROW()-1&lt;=$L$2+$M$2,IFERROR(INDEX(CLOZE_AB!$A:$K,ROW()-1-$L$2+1,7),""),IF(ROW()-1&lt;=$L$2+$M$2+$N$2,IFERROR(INDEX(CLOZE_LIST!$A:$K,ROW()-1-$L$2-$M$2+1,7),""),IF(ROW()-1&lt;=$L$2+$M$2+$N$2+$O$2,IFERROR(INDEX(PROFORMA!$A:$K,ROW()-1-$L$2-$M$2-$N$2+1,7),""),"")))))</f>
        <v>0</v>
      </c>
      <c r="H135" s="3" t="str">
        <f>IF(ROW()-1&lt;=0,"",IF(ROW()-1&lt;=$L$2,IFERROR(INDEX(MCQ!$A:$K,ROW()-1+1,8),""),IF(ROW()-1&lt;=$L$2+$M$2,IFERROR(INDEX(CLOZE_AB!$A:$K,ROW()-1-$L$2+1,8),""),IF(ROW()-1&lt;=$L$2+$M$2+$N$2,IFERROR(INDEX(CLOZE_LIST!$A:$K,ROW()-1-$L$2-$M$2+1,8),""),IF(ROW()-1&lt;=$L$2+$M$2+$N$2+$O$2,IFERROR(INDEX(PROFORMA!$A:$K,ROW()-1-$L$2-$M$2-$N$2+1,8),""),"")))))</f>
        <v>Y</v>
      </c>
      <c r="I135" s="3" t="str">
        <f>IF(ROW()-1&lt;=0,"",IF(ROW()-1&lt;=$L$2,IFERROR(INDEX(MCQ!$A:$K,ROW()-1+1,9),""),IF(ROW()-1&lt;=$L$2+$M$2,IFERROR(INDEX(CLOZE_AB!$A:$K,ROW()-1-$L$2+1,9),""),IF(ROW()-1&lt;=$L$2+$M$2+$N$2,IFERROR(INDEX(CLOZE_LIST!$A:$K,ROW()-1-$L$2-$M$2+1,9),""),IF(ROW()-1&lt;=$L$2+$M$2+$N$2+$O$2,IFERROR(INDEX(PROFORMA!$A:$K,ROW()-1-$L$2-$M$2-$N$2+1,9),""),"")))))</f>
        <v>eis|claims</v>
      </c>
      <c r="J135" s="3" t="str">
        <f>IF(ROW()-1&lt;=0,"",IF(ROW()-1&lt;=$L$2,IFERROR(INDEX(MCQ!$A:$K,ROW()-1+1,10),""),IF(ROW()-1&lt;=$L$2+$M$2,IFERROR(INDEX(CLOZE_AB!$A:$K,ROW()-1-$L$2+1,10),""),IF(ROW()-1&lt;=$L$2+$M$2+$N$2,IFERROR(INDEX(CLOZE_LIST!$A:$K,ROW()-1-$L$2-$M$2+1,10),""),IF(ROW()-1&lt;=$L$2+$M$2+$N$2+$O$2,IFERROR(INDEX(PROFORMA!$A:$K,ROW()-1-$L$2-$M$2-$N$2+1,10),""),"")))))</f>
        <v>user_notes</v>
      </c>
      <c r="K135" s="3">
        <f>IF(ROW()-1&lt;=0,"",IF(ROW()-1&lt;=$L$2,IFERROR(INDEX(MCQ!$A:$K,ROW()-1+1,11),""),IF(ROW()-1&lt;=$L$2+$M$2,IFERROR(INDEX(CLOZE_AB!$A:$K,ROW()-1-$L$2+1,11),""),IF(ROW()-1&lt;=$L$2+$M$2+$N$2,IFERROR(INDEX(CLOZE_LIST!$A:$K,ROW()-1-$L$2-$M$2+1,11),""),IF(ROW()-1&lt;=$L$2+$M$2+$N$2+$O$2,IFERROR(INDEX(PROFORMA!$A:$K,ROW()-1-$L$2-$M$2-$N$2+1,11),""),"")))))</f>
        <v>1</v>
      </c>
      <c r="L135" s="3">
        <f>COUNTA(MCQ!$A:$A)-1</f>
        <v>122</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AB_ITNIC_REQ_EMPSHARESCHEME_001</v>
      </c>
      <c r="B136" s="3" t="str">
        <f>IF(ROW()-1&lt;=0,"",IF(ROW()-1&lt;=$L$2,IFERROR(INDEX(MCQ!$A:$K,ROW()-1+1,2),""),IF(ROW()-1&lt;=$L$2+$M$2,IFERROR(INDEX(CLOZE_AB!$A:$K,ROW()-1-$L$2+1,2),""),IF(ROW()-1&lt;=$L$2+$M$2+$N$2,IFERROR(INDEX(CLOZE_LIST!$A:$K,ROW()-1-$L$2-$M$2+1,2),""),IF(ROW()-1&lt;=$L$2+$M$2+$N$2+$O$2,IFERROR(INDEX(PROFORMA!$A:$K,ROW()-1-$L$2-$M$2-$N$2+1,2),""),"")))))</f>
        <v>Income tax &amp; NIC</v>
      </c>
      <c r="C136" s="3" t="str">
        <f>IF(ROW()-1&lt;=0,"",IF(ROW()-1&lt;=$L$2,IFERROR(INDEX(MCQ!$A:$K,ROW()-1+1,3),""),IF(ROW()-1&lt;=$L$2+$M$2,IFERROR(INDEX(CLOZE_AB!$A:$K,ROW()-1-$L$2+1,3),""),IF(ROW()-1&lt;=$L$2+$M$2+$N$2,IFERROR(INDEX(CLOZE_LIST!$A:$K,ROW()-1-$L$2-$M$2+1,3),""),IF(ROW()-1&lt;=$L$2+$M$2+$N$2+$O$2,IFERROR(INDEX(PROFORMA!$A:$K,ROW()-1-$L$2-$M$2-$N$2+1,3),""),"")))))</f>
        <v>requirements</v>
      </c>
      <c r="D136" s="3" t="str">
        <f>IF(ROW()-1&lt;=0,"",IF(ROW()-1&lt;=$L$2,IFERROR(INDEX(MCQ!$A:$K,ROW()-1+1,4),""),IF(ROW()-1&lt;=$L$2+$M$2,IFERROR(INDEX(CLOZE_AB!$A:$K,ROW()-1-$L$2+1,4),""),IF(ROW()-1&lt;=$L$2+$M$2+$N$2,IFERROR(INDEX(CLOZE_LIST!$A:$K,ROW()-1-$L$2-$M$2+1,4),""),IF(ROW()-1&lt;=$L$2+$M$2+$N$2+$O$2,IFERROR(INDEX(PROFORMA!$A:$K,ROW()-1-$L$2-$M$2-$N$2+1,4),""),"")))))</f>
        <v>Employee share schemes</v>
      </c>
      <c r="E136" s="3" t="str">
        <f>IF(ROW()-1&lt;=0,"",IF(ROW()-1&lt;=$L$2,IFERROR(INDEX(MCQ!$A:$K,ROW()-1+1,5),""),IF(ROW()-1&lt;=$L$2+$M$2,IFERROR(INDEX(CLOZE_AB!$A:$K,ROW()-1-$L$2+1,5),""),IF(ROW()-1&lt;=$L$2+$M$2+$N$2,IFERROR(INDEX(CLOZE_LIST!$A:$K,ROW()-1-$L$2-$M$2+1,5),""),IF(ROW()-1&lt;=$L$2+$M$2+$N$2+$O$2,IFERROR(INDEX(PROFORMA!$A:$K,ROW()-1-$L$2-$M$2-$N$2+1,5),""),"")))))</f>
        <v>cloze_ab</v>
      </c>
      <c r="F136" s="3">
        <f>IF(ROW()-1&lt;=0,"",IF(ROW()-1&lt;=$L$2,IFERROR(INDEX(MCQ!$A:$K,ROW()-1+1,6),""),IF(ROW()-1&lt;=$L$2+$M$2,IFERROR(INDEX(CLOZE_AB!$A:$K,ROW()-1-$L$2+1,6),""),IF(ROW()-1&lt;=$L$2+$M$2+$N$2,IFERROR(INDEX(CLOZE_LIST!$A:$K,ROW()-1-$L$2-$M$2+1,6),""),IF(ROW()-1&lt;=$L$2+$M$2+$N$2+$O$2,IFERROR(INDEX(PROFORMA!$A:$K,ROW()-1-$L$2-$M$2-$N$2+1,6),""),"")))))</f>
        <v>3</v>
      </c>
      <c r="G136" s="3">
        <f>IF(ROW()-1&lt;=0,"",IF(ROW()-1&lt;=$L$2,IFERROR(INDEX(MCQ!$A:$K,ROW()-1+1,7),""),IF(ROW()-1&lt;=$L$2+$M$2,IFERROR(INDEX(CLOZE_AB!$A:$K,ROW()-1-$L$2+1,7),""),IF(ROW()-1&lt;=$L$2+$M$2+$N$2,IFERROR(INDEX(CLOZE_LIST!$A:$K,ROW()-1-$L$2-$M$2+1,7),""),IF(ROW()-1&lt;=$L$2+$M$2+$N$2+$O$2,IFERROR(INDEX(PROFORMA!$A:$K,ROW()-1-$L$2-$M$2-$N$2+1,7),""),"")))))</f>
        <v>0</v>
      </c>
      <c r="H136" s="3" t="str">
        <f>IF(ROW()-1&lt;=0,"",IF(ROW()-1&lt;=$L$2,IFERROR(INDEX(MCQ!$A:$K,ROW()-1+1,8),""),IF(ROW()-1&lt;=$L$2+$M$2,IFERROR(INDEX(CLOZE_AB!$A:$K,ROW()-1-$L$2+1,8),""),IF(ROW()-1&lt;=$L$2+$M$2+$N$2,IFERROR(INDEX(CLOZE_LIST!$A:$K,ROW()-1-$L$2-$M$2+1,8),""),IF(ROW()-1&lt;=$L$2+$M$2+$N$2+$O$2,IFERROR(INDEX(PROFORMA!$A:$K,ROW()-1-$L$2-$M$2-$N$2+1,8),""),"")))))</f>
        <v>Y</v>
      </c>
      <c r="I136" s="3" t="str">
        <f>IF(ROW()-1&lt;=0,"",IF(ROW()-1&lt;=$L$2,IFERROR(INDEX(MCQ!$A:$K,ROW()-1+1,9),""),IF(ROW()-1&lt;=$L$2+$M$2,IFERROR(INDEX(CLOZE_AB!$A:$K,ROW()-1-$L$2+1,9),""),IF(ROW()-1&lt;=$L$2+$M$2+$N$2,IFERROR(INDEX(CLOZE_LIST!$A:$K,ROW()-1-$L$2-$M$2+1,9),""),IF(ROW()-1&lt;=$L$2+$M$2+$N$2+$O$2,IFERROR(INDEX(PROFORMA!$A:$K,ROW()-1-$L$2-$M$2-$N$2+1,9),""),"")))))</f>
        <v>saye|limits</v>
      </c>
      <c r="J136" s="3" t="str">
        <f>IF(ROW()-1&lt;=0,"",IF(ROW()-1&lt;=$L$2,IFERROR(INDEX(MCQ!$A:$K,ROW()-1+1,10),""),IF(ROW()-1&lt;=$L$2+$M$2,IFERROR(INDEX(CLOZE_AB!$A:$K,ROW()-1-$L$2+1,10),""),IF(ROW()-1&lt;=$L$2+$M$2+$N$2,IFERROR(INDEX(CLOZE_LIST!$A:$K,ROW()-1-$L$2-$M$2+1,10),""),IF(ROW()-1&lt;=$L$2+$M$2+$N$2+$O$2,IFERROR(INDEX(PROFORMA!$A:$K,ROW()-1-$L$2-$M$2-$N$2+1,10),""),"")))))</f>
        <v>user_notes</v>
      </c>
      <c r="K136" s="3">
        <f>IF(ROW()-1&lt;=0,"",IF(ROW()-1&lt;=$L$2,IFERROR(INDEX(MCQ!$A:$K,ROW()-1+1,11),""),IF(ROW()-1&lt;=$L$2+$M$2,IFERROR(INDEX(CLOZE_AB!$A:$K,ROW()-1-$L$2+1,11),""),IF(ROW()-1&lt;=$L$2+$M$2+$N$2,IFERROR(INDEX(CLOZE_LIST!$A:$K,ROW()-1-$L$2-$M$2+1,11),""),IF(ROW()-1&lt;=$L$2+$M$2+$N$2+$O$2,IFERROR(INDEX(PROFORMA!$A:$K,ROW()-1-$L$2-$M$2-$N$2+1,11),""),"")))))</f>
        <v>1</v>
      </c>
      <c r="L136" s="3">
        <f>COUNTA(MCQ!$A:$A)-1</f>
        <v>122</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AB_ITNIC_REQ_EMPSHARESCHEME_002</v>
      </c>
      <c r="B137" s="3" t="str">
        <f>IF(ROW()-1&lt;=0,"",IF(ROW()-1&lt;=$L$2,IFERROR(INDEX(MCQ!$A:$K,ROW()-1+1,2),""),IF(ROW()-1&lt;=$L$2+$M$2,IFERROR(INDEX(CLOZE_AB!$A:$K,ROW()-1-$L$2+1,2),""),IF(ROW()-1&lt;=$L$2+$M$2+$N$2,IFERROR(INDEX(CLOZE_LIST!$A:$K,ROW()-1-$L$2-$M$2+1,2),""),IF(ROW()-1&lt;=$L$2+$M$2+$N$2+$O$2,IFERROR(INDEX(PROFORMA!$A:$K,ROW()-1-$L$2-$M$2-$N$2+1,2),""),"")))))</f>
        <v>Income tax &amp; NIC</v>
      </c>
      <c r="C137" s="3" t="str">
        <f>IF(ROW()-1&lt;=0,"",IF(ROW()-1&lt;=$L$2,IFERROR(INDEX(MCQ!$A:$K,ROW()-1+1,3),""),IF(ROW()-1&lt;=$L$2+$M$2,IFERROR(INDEX(CLOZE_AB!$A:$K,ROW()-1-$L$2+1,3),""),IF(ROW()-1&lt;=$L$2+$M$2+$N$2,IFERROR(INDEX(CLOZE_LIST!$A:$K,ROW()-1-$L$2-$M$2+1,3),""),IF(ROW()-1&lt;=$L$2+$M$2+$N$2+$O$2,IFERROR(INDEX(PROFORMA!$A:$K,ROW()-1-$L$2-$M$2-$N$2+1,3),""),"")))))</f>
        <v>requirements</v>
      </c>
      <c r="D137" s="3" t="str">
        <f>IF(ROW()-1&lt;=0,"",IF(ROW()-1&lt;=$L$2,IFERROR(INDEX(MCQ!$A:$K,ROW()-1+1,4),""),IF(ROW()-1&lt;=$L$2+$M$2,IFERROR(INDEX(CLOZE_AB!$A:$K,ROW()-1-$L$2+1,4),""),IF(ROW()-1&lt;=$L$2+$M$2+$N$2,IFERROR(INDEX(CLOZE_LIST!$A:$K,ROW()-1-$L$2-$M$2+1,4),""),IF(ROW()-1&lt;=$L$2+$M$2+$N$2+$O$2,IFERROR(INDEX(PROFORMA!$A:$K,ROW()-1-$L$2-$M$2-$N$2+1,4),""),"")))))</f>
        <v>Employee share schemes</v>
      </c>
      <c r="E137" s="3" t="str">
        <f>IF(ROW()-1&lt;=0,"",IF(ROW()-1&lt;=$L$2,IFERROR(INDEX(MCQ!$A:$K,ROW()-1+1,5),""),IF(ROW()-1&lt;=$L$2+$M$2,IFERROR(INDEX(CLOZE_AB!$A:$K,ROW()-1-$L$2+1,5),""),IF(ROW()-1&lt;=$L$2+$M$2+$N$2,IFERROR(INDEX(CLOZE_LIST!$A:$K,ROW()-1-$L$2-$M$2+1,5),""),IF(ROW()-1&lt;=$L$2+$M$2+$N$2+$O$2,IFERROR(INDEX(PROFORMA!$A:$K,ROW()-1-$L$2-$M$2-$N$2+1,5),""),"")))))</f>
        <v>cloze_ab</v>
      </c>
      <c r="F137" s="3">
        <f>IF(ROW()-1&lt;=0,"",IF(ROW()-1&lt;=$L$2,IFERROR(INDEX(MCQ!$A:$K,ROW()-1+1,6),""),IF(ROW()-1&lt;=$L$2+$M$2,IFERROR(INDEX(CLOZE_AB!$A:$K,ROW()-1-$L$2+1,6),""),IF(ROW()-1&lt;=$L$2+$M$2+$N$2,IFERROR(INDEX(CLOZE_LIST!$A:$K,ROW()-1-$L$2-$M$2+1,6),""),IF(ROW()-1&lt;=$L$2+$M$2+$N$2+$O$2,IFERROR(INDEX(PROFORMA!$A:$K,ROW()-1-$L$2-$M$2-$N$2+1,6),""),"")))))</f>
        <v>3</v>
      </c>
      <c r="G137" s="3">
        <f>IF(ROW()-1&lt;=0,"",IF(ROW()-1&lt;=$L$2,IFERROR(INDEX(MCQ!$A:$K,ROW()-1+1,7),""),IF(ROW()-1&lt;=$L$2+$M$2,IFERROR(INDEX(CLOZE_AB!$A:$K,ROW()-1-$L$2+1,7),""),IF(ROW()-1&lt;=$L$2+$M$2+$N$2,IFERROR(INDEX(CLOZE_LIST!$A:$K,ROW()-1-$L$2-$M$2+1,7),""),IF(ROW()-1&lt;=$L$2+$M$2+$N$2+$O$2,IFERROR(INDEX(PROFORMA!$A:$K,ROW()-1-$L$2-$M$2-$N$2+1,7),""),"")))))</f>
        <v>0</v>
      </c>
      <c r="H137" s="3" t="str">
        <f>IF(ROW()-1&lt;=0,"",IF(ROW()-1&lt;=$L$2,IFERROR(INDEX(MCQ!$A:$K,ROW()-1+1,8),""),IF(ROW()-1&lt;=$L$2+$M$2,IFERROR(INDEX(CLOZE_AB!$A:$K,ROW()-1-$L$2+1,8),""),IF(ROW()-1&lt;=$L$2+$M$2+$N$2,IFERROR(INDEX(CLOZE_LIST!$A:$K,ROW()-1-$L$2-$M$2+1,8),""),IF(ROW()-1&lt;=$L$2+$M$2+$N$2+$O$2,IFERROR(INDEX(PROFORMA!$A:$K,ROW()-1-$L$2-$M$2-$N$2+1,8),""),"")))))</f>
        <v>Y</v>
      </c>
      <c r="I137" s="3" t="str">
        <f>IF(ROW()-1&lt;=0,"",IF(ROW()-1&lt;=$L$2,IFERROR(INDEX(MCQ!$A:$K,ROW()-1+1,9),""),IF(ROW()-1&lt;=$L$2+$M$2,IFERROR(INDEX(CLOZE_AB!$A:$K,ROW()-1-$L$2+1,9),""),IF(ROW()-1&lt;=$L$2+$M$2+$N$2,IFERROR(INDEX(CLOZE_LIST!$A:$K,ROW()-1-$L$2-$M$2+1,9),""),IF(ROW()-1&lt;=$L$2+$M$2+$N$2+$O$2,IFERROR(INDEX(PROFORMA!$A:$K,ROW()-1-$L$2-$M$2-$N$2+1,9),""),"")))))</f>
        <v>saye|term</v>
      </c>
      <c r="J137" s="3" t="str">
        <f>IF(ROW()-1&lt;=0,"",IF(ROW()-1&lt;=$L$2,IFERROR(INDEX(MCQ!$A:$K,ROW()-1+1,10),""),IF(ROW()-1&lt;=$L$2+$M$2,IFERROR(INDEX(CLOZE_AB!$A:$K,ROW()-1-$L$2+1,10),""),IF(ROW()-1&lt;=$L$2+$M$2+$N$2,IFERROR(INDEX(CLOZE_LIST!$A:$K,ROW()-1-$L$2-$M$2+1,10),""),IF(ROW()-1&lt;=$L$2+$M$2+$N$2+$O$2,IFERROR(INDEX(PROFORMA!$A:$K,ROW()-1-$L$2-$M$2-$N$2+1,10),""),"")))))</f>
        <v>user_notes</v>
      </c>
      <c r="K137" s="3">
        <f>IF(ROW()-1&lt;=0,"",IF(ROW()-1&lt;=$L$2,IFERROR(INDEX(MCQ!$A:$K,ROW()-1+1,11),""),IF(ROW()-1&lt;=$L$2+$M$2,IFERROR(INDEX(CLOZE_AB!$A:$K,ROW()-1-$L$2+1,11),""),IF(ROW()-1&lt;=$L$2+$M$2+$N$2,IFERROR(INDEX(CLOZE_LIST!$A:$K,ROW()-1-$L$2-$M$2+1,11),""),IF(ROW()-1&lt;=$L$2+$M$2+$N$2+$O$2,IFERROR(INDEX(PROFORMA!$A:$K,ROW()-1-$L$2-$M$2-$N$2+1,11),""),"")))))</f>
        <v>1</v>
      </c>
      <c r="L137" s="3">
        <f>COUNTA(MCQ!$A:$A)-1</f>
        <v>122</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AB_ITNIC_REQ_EMPSHARESCHEME_003</v>
      </c>
      <c r="B138" s="3" t="str">
        <f>IF(ROW()-1&lt;=0,"",IF(ROW()-1&lt;=$L$2,IFERROR(INDEX(MCQ!$A:$K,ROW()-1+1,2),""),IF(ROW()-1&lt;=$L$2+$M$2,IFERROR(INDEX(CLOZE_AB!$A:$K,ROW()-1-$L$2+1,2),""),IF(ROW()-1&lt;=$L$2+$M$2+$N$2,IFERROR(INDEX(CLOZE_LIST!$A:$K,ROW()-1-$L$2-$M$2+1,2),""),IF(ROW()-1&lt;=$L$2+$M$2+$N$2+$O$2,IFERROR(INDEX(PROFORMA!$A:$K,ROW()-1-$L$2-$M$2-$N$2+1,2),""),"")))))</f>
        <v>Income tax &amp; NIC</v>
      </c>
      <c r="C138" s="3" t="str">
        <f>IF(ROW()-1&lt;=0,"",IF(ROW()-1&lt;=$L$2,IFERROR(INDEX(MCQ!$A:$K,ROW()-1+1,3),""),IF(ROW()-1&lt;=$L$2+$M$2,IFERROR(INDEX(CLOZE_AB!$A:$K,ROW()-1-$L$2+1,3),""),IF(ROW()-1&lt;=$L$2+$M$2+$N$2,IFERROR(INDEX(CLOZE_LIST!$A:$K,ROW()-1-$L$2-$M$2+1,3),""),IF(ROW()-1&lt;=$L$2+$M$2+$N$2+$O$2,IFERROR(INDEX(PROFORMA!$A:$K,ROW()-1-$L$2-$M$2-$N$2+1,3),""),"")))))</f>
        <v>requirements</v>
      </c>
      <c r="D138" s="3" t="str">
        <f>IF(ROW()-1&lt;=0,"",IF(ROW()-1&lt;=$L$2,IFERROR(INDEX(MCQ!$A:$K,ROW()-1+1,4),""),IF(ROW()-1&lt;=$L$2+$M$2,IFERROR(INDEX(CLOZE_AB!$A:$K,ROW()-1-$L$2+1,4),""),IF(ROW()-1&lt;=$L$2+$M$2+$N$2,IFERROR(INDEX(CLOZE_LIST!$A:$K,ROW()-1-$L$2-$M$2+1,4),""),IF(ROW()-1&lt;=$L$2+$M$2+$N$2+$O$2,IFERROR(INDEX(PROFORMA!$A:$K,ROW()-1-$L$2-$M$2-$N$2+1,4),""),"")))))</f>
        <v>Employee share schemes</v>
      </c>
      <c r="E138" s="3" t="str">
        <f>IF(ROW()-1&lt;=0,"",IF(ROW()-1&lt;=$L$2,IFERROR(INDEX(MCQ!$A:$K,ROW()-1+1,5),""),IF(ROW()-1&lt;=$L$2+$M$2,IFERROR(INDEX(CLOZE_AB!$A:$K,ROW()-1-$L$2+1,5),""),IF(ROW()-1&lt;=$L$2+$M$2+$N$2,IFERROR(INDEX(CLOZE_LIST!$A:$K,ROW()-1-$L$2-$M$2+1,5),""),IF(ROW()-1&lt;=$L$2+$M$2+$N$2+$O$2,IFERROR(INDEX(PROFORMA!$A:$K,ROW()-1-$L$2-$M$2-$N$2+1,5),""),"")))))</f>
        <v>cloze_ab</v>
      </c>
      <c r="F138" s="3">
        <f>IF(ROW()-1&lt;=0,"",IF(ROW()-1&lt;=$L$2,IFERROR(INDEX(MCQ!$A:$K,ROW()-1+1,6),""),IF(ROW()-1&lt;=$L$2+$M$2,IFERROR(INDEX(CLOZE_AB!$A:$K,ROW()-1-$L$2+1,6),""),IF(ROW()-1&lt;=$L$2+$M$2+$N$2,IFERROR(INDEX(CLOZE_LIST!$A:$K,ROW()-1-$L$2-$M$2+1,6),""),IF(ROW()-1&lt;=$L$2+$M$2+$N$2+$O$2,IFERROR(INDEX(PROFORMA!$A:$K,ROW()-1-$L$2-$M$2-$N$2+1,6),""),"")))))</f>
        <v>3</v>
      </c>
      <c r="G138" s="3">
        <f>IF(ROW()-1&lt;=0,"",IF(ROW()-1&lt;=$L$2,IFERROR(INDEX(MCQ!$A:$K,ROW()-1+1,7),""),IF(ROW()-1&lt;=$L$2+$M$2,IFERROR(INDEX(CLOZE_AB!$A:$K,ROW()-1-$L$2+1,7),""),IF(ROW()-1&lt;=$L$2+$M$2+$N$2,IFERROR(INDEX(CLOZE_LIST!$A:$K,ROW()-1-$L$2-$M$2+1,7),""),IF(ROW()-1&lt;=$L$2+$M$2+$N$2+$O$2,IFERROR(INDEX(PROFORMA!$A:$K,ROW()-1-$L$2-$M$2-$N$2+1,7),""),"")))))</f>
        <v>0</v>
      </c>
      <c r="H138" s="3" t="str">
        <f>IF(ROW()-1&lt;=0,"",IF(ROW()-1&lt;=$L$2,IFERROR(INDEX(MCQ!$A:$K,ROW()-1+1,8),""),IF(ROW()-1&lt;=$L$2+$M$2,IFERROR(INDEX(CLOZE_AB!$A:$K,ROW()-1-$L$2+1,8),""),IF(ROW()-1&lt;=$L$2+$M$2+$N$2,IFERROR(INDEX(CLOZE_LIST!$A:$K,ROW()-1-$L$2-$M$2+1,8),""),IF(ROW()-1&lt;=$L$2+$M$2+$N$2+$O$2,IFERROR(INDEX(PROFORMA!$A:$K,ROW()-1-$L$2-$M$2-$N$2+1,8),""),"")))))</f>
        <v>Y</v>
      </c>
      <c r="I138" s="3" t="str">
        <f>IF(ROW()-1&lt;=0,"",IF(ROW()-1&lt;=$L$2,IFERROR(INDEX(MCQ!$A:$K,ROW()-1+1,9),""),IF(ROW()-1&lt;=$L$2+$M$2,IFERROR(INDEX(CLOZE_AB!$A:$K,ROW()-1-$L$2+1,9),""),IF(ROW()-1&lt;=$L$2+$M$2+$N$2,IFERROR(INDEX(CLOZE_LIST!$A:$K,ROW()-1-$L$2-$M$2+1,9),""),IF(ROW()-1&lt;=$L$2+$M$2+$N$2+$O$2,IFERROR(INDEX(PROFORMA!$A:$K,ROW()-1-$L$2-$M$2-$N$2+1,9),""),"")))))</f>
        <v>saye|tax</v>
      </c>
      <c r="J138" s="3" t="str">
        <f>IF(ROW()-1&lt;=0,"",IF(ROW()-1&lt;=$L$2,IFERROR(INDEX(MCQ!$A:$K,ROW()-1+1,10),""),IF(ROW()-1&lt;=$L$2+$M$2,IFERROR(INDEX(CLOZE_AB!$A:$K,ROW()-1-$L$2+1,10),""),IF(ROW()-1&lt;=$L$2+$M$2+$N$2,IFERROR(INDEX(CLOZE_LIST!$A:$K,ROW()-1-$L$2-$M$2+1,10),""),IF(ROW()-1&lt;=$L$2+$M$2+$N$2+$O$2,IFERROR(INDEX(PROFORMA!$A:$K,ROW()-1-$L$2-$M$2-$N$2+1,10),""),"")))))</f>
        <v>user_notes</v>
      </c>
      <c r="K138" s="3">
        <f>IF(ROW()-1&lt;=0,"",IF(ROW()-1&lt;=$L$2,IFERROR(INDEX(MCQ!$A:$K,ROW()-1+1,11),""),IF(ROW()-1&lt;=$L$2+$M$2,IFERROR(INDEX(CLOZE_AB!$A:$K,ROW()-1-$L$2+1,11),""),IF(ROW()-1&lt;=$L$2+$M$2+$N$2,IFERROR(INDEX(CLOZE_LIST!$A:$K,ROW()-1-$L$2-$M$2+1,11),""),IF(ROW()-1&lt;=$L$2+$M$2+$N$2+$O$2,IFERROR(INDEX(PROFORMA!$A:$K,ROW()-1-$L$2-$M$2-$N$2+1,11),""),"")))))</f>
        <v>1</v>
      </c>
      <c r="L138" s="3">
        <f>COUNTA(MCQ!$A:$A)-1</f>
        <v>122</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AB_ITNIC_REQ_EMPSHARESCHEME_004</v>
      </c>
      <c r="B139" s="3" t="str">
        <f>IF(ROW()-1&lt;=0,"",IF(ROW()-1&lt;=$L$2,IFERROR(INDEX(MCQ!$A:$K,ROW()-1+1,2),""),IF(ROW()-1&lt;=$L$2+$M$2,IFERROR(INDEX(CLOZE_AB!$A:$K,ROW()-1-$L$2+1,2),""),IF(ROW()-1&lt;=$L$2+$M$2+$N$2,IFERROR(INDEX(CLOZE_LIST!$A:$K,ROW()-1-$L$2-$M$2+1,2),""),IF(ROW()-1&lt;=$L$2+$M$2+$N$2+$O$2,IFERROR(INDEX(PROFORMA!$A:$K,ROW()-1-$L$2-$M$2-$N$2+1,2),""),"")))))</f>
        <v>Income tax &amp; NIC</v>
      </c>
      <c r="C139" s="3" t="str">
        <f>IF(ROW()-1&lt;=0,"",IF(ROW()-1&lt;=$L$2,IFERROR(INDEX(MCQ!$A:$K,ROW()-1+1,3),""),IF(ROW()-1&lt;=$L$2+$M$2,IFERROR(INDEX(CLOZE_AB!$A:$K,ROW()-1-$L$2+1,3),""),IF(ROW()-1&lt;=$L$2+$M$2+$N$2,IFERROR(INDEX(CLOZE_LIST!$A:$K,ROW()-1-$L$2-$M$2+1,3),""),IF(ROW()-1&lt;=$L$2+$M$2+$N$2+$O$2,IFERROR(INDEX(PROFORMA!$A:$K,ROW()-1-$L$2-$M$2-$N$2+1,3),""),"")))))</f>
        <v>requirements</v>
      </c>
      <c r="D139" s="3" t="str">
        <f>IF(ROW()-1&lt;=0,"",IF(ROW()-1&lt;=$L$2,IFERROR(INDEX(MCQ!$A:$K,ROW()-1+1,4),""),IF(ROW()-1&lt;=$L$2+$M$2,IFERROR(INDEX(CLOZE_AB!$A:$K,ROW()-1-$L$2+1,4),""),IF(ROW()-1&lt;=$L$2+$M$2+$N$2,IFERROR(INDEX(CLOZE_LIST!$A:$K,ROW()-1-$L$2-$M$2+1,4),""),IF(ROW()-1&lt;=$L$2+$M$2+$N$2+$O$2,IFERROR(INDEX(PROFORMA!$A:$K,ROW()-1-$L$2-$M$2-$N$2+1,4),""),"")))))</f>
        <v>Employee share schemes</v>
      </c>
      <c r="E139" s="3" t="str">
        <f>IF(ROW()-1&lt;=0,"",IF(ROW()-1&lt;=$L$2,IFERROR(INDEX(MCQ!$A:$K,ROW()-1+1,5),""),IF(ROW()-1&lt;=$L$2+$M$2,IFERROR(INDEX(CLOZE_AB!$A:$K,ROW()-1-$L$2+1,5),""),IF(ROW()-1&lt;=$L$2+$M$2+$N$2,IFERROR(INDEX(CLOZE_LIST!$A:$K,ROW()-1-$L$2-$M$2+1,5),""),IF(ROW()-1&lt;=$L$2+$M$2+$N$2+$O$2,IFERROR(INDEX(PROFORMA!$A:$K,ROW()-1-$L$2-$M$2-$N$2+1,5),""),"")))))</f>
        <v>cloze_ab</v>
      </c>
      <c r="F139" s="3">
        <f>IF(ROW()-1&lt;=0,"",IF(ROW()-1&lt;=$L$2,IFERROR(INDEX(MCQ!$A:$K,ROW()-1+1,6),""),IF(ROW()-1&lt;=$L$2+$M$2,IFERROR(INDEX(CLOZE_AB!$A:$K,ROW()-1-$L$2+1,6),""),IF(ROW()-1&lt;=$L$2+$M$2+$N$2,IFERROR(INDEX(CLOZE_LIST!$A:$K,ROW()-1-$L$2-$M$2+1,6),""),IF(ROW()-1&lt;=$L$2+$M$2+$N$2+$O$2,IFERROR(INDEX(PROFORMA!$A:$K,ROW()-1-$L$2-$M$2-$N$2+1,6),""),"")))))</f>
        <v>3</v>
      </c>
      <c r="G139" s="3">
        <f>IF(ROW()-1&lt;=0,"",IF(ROW()-1&lt;=$L$2,IFERROR(INDEX(MCQ!$A:$K,ROW()-1+1,7),""),IF(ROW()-1&lt;=$L$2+$M$2,IFERROR(INDEX(CLOZE_AB!$A:$K,ROW()-1-$L$2+1,7),""),IF(ROW()-1&lt;=$L$2+$M$2+$N$2,IFERROR(INDEX(CLOZE_LIST!$A:$K,ROW()-1-$L$2-$M$2+1,7),""),IF(ROW()-1&lt;=$L$2+$M$2+$N$2+$O$2,IFERROR(INDEX(PROFORMA!$A:$K,ROW()-1-$L$2-$M$2-$N$2+1,7),""),"")))))</f>
        <v>0</v>
      </c>
      <c r="H139" s="3" t="str">
        <f>IF(ROW()-1&lt;=0,"",IF(ROW()-1&lt;=$L$2,IFERROR(INDEX(MCQ!$A:$K,ROW()-1+1,8),""),IF(ROW()-1&lt;=$L$2+$M$2,IFERROR(INDEX(CLOZE_AB!$A:$K,ROW()-1-$L$2+1,8),""),IF(ROW()-1&lt;=$L$2+$M$2+$N$2,IFERROR(INDEX(CLOZE_LIST!$A:$K,ROW()-1-$L$2-$M$2+1,8),""),IF(ROW()-1&lt;=$L$2+$M$2+$N$2+$O$2,IFERROR(INDEX(PROFORMA!$A:$K,ROW()-1-$L$2-$M$2-$N$2+1,8),""),"")))))</f>
        <v>Y</v>
      </c>
      <c r="I139" s="3" t="str">
        <f>IF(ROW()-1&lt;=0,"",IF(ROW()-1&lt;=$L$2,IFERROR(INDEX(MCQ!$A:$K,ROW()-1+1,9),""),IF(ROW()-1&lt;=$L$2+$M$2,IFERROR(INDEX(CLOZE_AB!$A:$K,ROW()-1-$L$2+1,9),""),IF(ROW()-1&lt;=$L$2+$M$2+$N$2,IFERROR(INDEX(CLOZE_LIST!$A:$K,ROW()-1-$L$2-$M$2+1,9),""),IF(ROW()-1&lt;=$L$2+$M$2+$N$2+$O$2,IFERROR(INDEX(PROFORMA!$A:$K,ROW()-1-$L$2-$M$2-$N$2+1,9),""),"")))))</f>
        <v>saye|completion</v>
      </c>
      <c r="J139" s="3" t="str">
        <f>IF(ROW()-1&lt;=0,"",IF(ROW()-1&lt;=$L$2,IFERROR(INDEX(MCQ!$A:$K,ROW()-1+1,10),""),IF(ROW()-1&lt;=$L$2+$M$2,IFERROR(INDEX(CLOZE_AB!$A:$K,ROW()-1-$L$2+1,10),""),IF(ROW()-1&lt;=$L$2+$M$2+$N$2,IFERROR(INDEX(CLOZE_LIST!$A:$K,ROW()-1-$L$2-$M$2+1,10),""),IF(ROW()-1&lt;=$L$2+$M$2+$N$2+$O$2,IFERROR(INDEX(PROFORMA!$A:$K,ROW()-1-$L$2-$M$2-$N$2+1,10),""),"")))))</f>
        <v>user_notes</v>
      </c>
      <c r="K139" s="3">
        <f>IF(ROW()-1&lt;=0,"",IF(ROW()-1&lt;=$L$2,IFERROR(INDEX(MCQ!$A:$K,ROW()-1+1,11),""),IF(ROW()-1&lt;=$L$2+$M$2,IFERROR(INDEX(CLOZE_AB!$A:$K,ROW()-1-$L$2+1,11),""),IF(ROW()-1&lt;=$L$2+$M$2+$N$2,IFERROR(INDEX(CLOZE_LIST!$A:$K,ROW()-1-$L$2-$M$2+1,11),""),IF(ROW()-1&lt;=$L$2+$M$2+$N$2+$O$2,IFERROR(INDEX(PROFORMA!$A:$K,ROW()-1-$L$2-$M$2-$N$2+1,11),""),"")))))</f>
        <v>1</v>
      </c>
      <c r="L139" s="3">
        <f>COUNTA(MCQ!$A:$A)-1</f>
        <v>122</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AB_ITNIC_REQ_EMPSHARESCHEME_005</v>
      </c>
      <c r="B140" s="3" t="str">
        <f>IF(ROW()-1&lt;=0,"",IF(ROW()-1&lt;=$L$2,IFERROR(INDEX(MCQ!$A:$K,ROW()-1+1,2),""),IF(ROW()-1&lt;=$L$2+$M$2,IFERROR(INDEX(CLOZE_AB!$A:$K,ROW()-1-$L$2+1,2),""),IF(ROW()-1&lt;=$L$2+$M$2+$N$2,IFERROR(INDEX(CLOZE_LIST!$A:$K,ROW()-1-$L$2-$M$2+1,2),""),IF(ROW()-1&lt;=$L$2+$M$2+$N$2+$O$2,IFERROR(INDEX(PROFORMA!$A:$K,ROW()-1-$L$2-$M$2-$N$2+1,2),""),"")))))</f>
        <v>Income tax &amp; NIC</v>
      </c>
      <c r="C140" s="3" t="str">
        <f>IF(ROW()-1&lt;=0,"",IF(ROW()-1&lt;=$L$2,IFERROR(INDEX(MCQ!$A:$K,ROW()-1+1,3),""),IF(ROW()-1&lt;=$L$2+$M$2,IFERROR(INDEX(CLOZE_AB!$A:$K,ROW()-1-$L$2+1,3),""),IF(ROW()-1&lt;=$L$2+$M$2+$N$2,IFERROR(INDEX(CLOZE_LIST!$A:$K,ROW()-1-$L$2-$M$2+1,3),""),IF(ROW()-1&lt;=$L$2+$M$2+$N$2+$O$2,IFERROR(INDEX(PROFORMA!$A:$K,ROW()-1-$L$2-$M$2-$N$2+1,3),""),"")))))</f>
        <v>requirements</v>
      </c>
      <c r="D140" s="3" t="str">
        <f>IF(ROW()-1&lt;=0,"",IF(ROW()-1&lt;=$L$2,IFERROR(INDEX(MCQ!$A:$K,ROW()-1+1,4),""),IF(ROW()-1&lt;=$L$2+$M$2,IFERROR(INDEX(CLOZE_AB!$A:$K,ROW()-1-$L$2+1,4),""),IF(ROW()-1&lt;=$L$2+$M$2+$N$2,IFERROR(INDEX(CLOZE_LIST!$A:$K,ROW()-1-$L$2-$M$2+1,4),""),IF(ROW()-1&lt;=$L$2+$M$2+$N$2+$O$2,IFERROR(INDEX(PROFORMA!$A:$K,ROW()-1-$L$2-$M$2-$N$2+1,4),""),"")))))</f>
        <v>Employee share schemes</v>
      </c>
      <c r="E140" s="3" t="str">
        <f>IF(ROW()-1&lt;=0,"",IF(ROW()-1&lt;=$L$2,IFERROR(INDEX(MCQ!$A:$K,ROW()-1+1,5),""),IF(ROW()-1&lt;=$L$2+$M$2,IFERROR(INDEX(CLOZE_AB!$A:$K,ROW()-1-$L$2+1,5),""),IF(ROW()-1&lt;=$L$2+$M$2+$N$2,IFERROR(INDEX(CLOZE_LIST!$A:$K,ROW()-1-$L$2-$M$2+1,5),""),IF(ROW()-1&lt;=$L$2+$M$2+$N$2+$O$2,IFERROR(INDEX(PROFORMA!$A:$K,ROW()-1-$L$2-$M$2-$N$2+1,5),""),"")))))</f>
        <v>cloze_ab</v>
      </c>
      <c r="F140" s="3">
        <f>IF(ROW()-1&lt;=0,"",IF(ROW()-1&lt;=$L$2,IFERROR(INDEX(MCQ!$A:$K,ROW()-1+1,6),""),IF(ROW()-1&lt;=$L$2+$M$2,IFERROR(INDEX(CLOZE_AB!$A:$K,ROW()-1-$L$2+1,6),""),IF(ROW()-1&lt;=$L$2+$M$2+$N$2,IFERROR(INDEX(CLOZE_LIST!$A:$K,ROW()-1-$L$2-$M$2+1,6),""),IF(ROW()-1&lt;=$L$2+$M$2+$N$2+$O$2,IFERROR(INDEX(PROFORMA!$A:$K,ROW()-1-$L$2-$M$2-$N$2+1,6),""),"")))))</f>
        <v>3</v>
      </c>
      <c r="G140" s="3">
        <f>IF(ROW()-1&lt;=0,"",IF(ROW()-1&lt;=$L$2,IFERROR(INDEX(MCQ!$A:$K,ROW()-1+1,7),""),IF(ROW()-1&lt;=$L$2+$M$2,IFERROR(INDEX(CLOZE_AB!$A:$K,ROW()-1-$L$2+1,7),""),IF(ROW()-1&lt;=$L$2+$M$2+$N$2,IFERROR(INDEX(CLOZE_LIST!$A:$K,ROW()-1-$L$2-$M$2+1,7),""),IF(ROW()-1&lt;=$L$2+$M$2+$N$2+$O$2,IFERROR(INDEX(PROFORMA!$A:$K,ROW()-1-$L$2-$M$2-$N$2+1,7),""),"")))))</f>
        <v>0</v>
      </c>
      <c r="H140" s="3" t="str">
        <f>IF(ROW()-1&lt;=0,"",IF(ROW()-1&lt;=$L$2,IFERROR(INDEX(MCQ!$A:$K,ROW()-1+1,8),""),IF(ROW()-1&lt;=$L$2+$M$2,IFERROR(INDEX(CLOZE_AB!$A:$K,ROW()-1-$L$2+1,8),""),IF(ROW()-1&lt;=$L$2+$M$2+$N$2,IFERROR(INDEX(CLOZE_LIST!$A:$K,ROW()-1-$L$2-$M$2+1,8),""),IF(ROW()-1&lt;=$L$2+$M$2+$N$2+$O$2,IFERROR(INDEX(PROFORMA!$A:$K,ROW()-1-$L$2-$M$2-$N$2+1,8),""),"")))))</f>
        <v>Y</v>
      </c>
      <c r="I140" s="3" t="str">
        <f>IF(ROW()-1&lt;=0,"",IF(ROW()-1&lt;=$L$2,IFERROR(INDEX(MCQ!$A:$K,ROW()-1+1,9),""),IF(ROW()-1&lt;=$L$2+$M$2,IFERROR(INDEX(CLOZE_AB!$A:$K,ROW()-1-$L$2+1,9),""),IF(ROW()-1&lt;=$L$2+$M$2+$N$2,IFERROR(INDEX(CLOZE_LIST!$A:$K,ROW()-1-$L$2-$M$2+1,9),""),IF(ROW()-1&lt;=$L$2+$M$2+$N$2+$O$2,IFERROR(INDEX(PROFORMA!$A:$K,ROW()-1-$L$2-$M$2-$N$2+1,9),""),"")))))</f>
        <v>saye|disposal</v>
      </c>
      <c r="J140" s="3" t="str">
        <f>IF(ROW()-1&lt;=0,"",IF(ROW()-1&lt;=$L$2,IFERROR(INDEX(MCQ!$A:$K,ROW()-1+1,10),""),IF(ROW()-1&lt;=$L$2+$M$2,IFERROR(INDEX(CLOZE_AB!$A:$K,ROW()-1-$L$2+1,10),""),IF(ROW()-1&lt;=$L$2+$M$2+$N$2,IFERROR(INDEX(CLOZE_LIST!$A:$K,ROW()-1-$L$2-$M$2+1,10),""),IF(ROW()-1&lt;=$L$2+$M$2+$N$2+$O$2,IFERROR(INDEX(PROFORMA!$A:$K,ROW()-1-$L$2-$M$2-$N$2+1,10),""),"")))))</f>
        <v>user_notes</v>
      </c>
      <c r="K140" s="3">
        <f>IF(ROW()-1&lt;=0,"",IF(ROW()-1&lt;=$L$2,IFERROR(INDEX(MCQ!$A:$K,ROW()-1+1,11),""),IF(ROW()-1&lt;=$L$2+$M$2,IFERROR(INDEX(CLOZE_AB!$A:$K,ROW()-1-$L$2+1,11),""),IF(ROW()-1&lt;=$L$2+$M$2+$N$2,IFERROR(INDEX(CLOZE_LIST!$A:$K,ROW()-1-$L$2-$M$2+1,11),""),IF(ROW()-1&lt;=$L$2+$M$2+$N$2+$O$2,IFERROR(INDEX(PROFORMA!$A:$K,ROW()-1-$L$2-$M$2-$N$2+1,11),""),"")))))</f>
        <v>1</v>
      </c>
      <c r="L140" s="3">
        <f>COUNTA(MCQ!$A:$A)-1</f>
        <v>122</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AB_ITNIC_REQ_EMPSHARESCHEME_006</v>
      </c>
      <c r="B141" s="3" t="str">
        <f>IF(ROW()-1&lt;=0,"",IF(ROW()-1&lt;=$L$2,IFERROR(INDEX(MCQ!$A:$K,ROW()-1+1,2),""),IF(ROW()-1&lt;=$L$2+$M$2,IFERROR(INDEX(CLOZE_AB!$A:$K,ROW()-1-$L$2+1,2),""),IF(ROW()-1&lt;=$L$2+$M$2+$N$2,IFERROR(INDEX(CLOZE_LIST!$A:$K,ROW()-1-$L$2-$M$2+1,2),""),IF(ROW()-1&lt;=$L$2+$M$2+$N$2+$O$2,IFERROR(INDEX(PROFORMA!$A:$K,ROW()-1-$L$2-$M$2-$N$2+1,2),""),"")))))</f>
        <v>Income tax &amp; NIC</v>
      </c>
      <c r="C141" s="3" t="str">
        <f>IF(ROW()-1&lt;=0,"",IF(ROW()-1&lt;=$L$2,IFERROR(INDEX(MCQ!$A:$K,ROW()-1+1,3),""),IF(ROW()-1&lt;=$L$2+$M$2,IFERROR(INDEX(CLOZE_AB!$A:$K,ROW()-1-$L$2+1,3),""),IF(ROW()-1&lt;=$L$2+$M$2+$N$2,IFERROR(INDEX(CLOZE_LIST!$A:$K,ROW()-1-$L$2-$M$2+1,3),""),IF(ROW()-1&lt;=$L$2+$M$2+$N$2+$O$2,IFERROR(INDEX(PROFORMA!$A:$K,ROW()-1-$L$2-$M$2-$N$2+1,3),""),"")))))</f>
        <v>requirements</v>
      </c>
      <c r="D141" s="3" t="str">
        <f>IF(ROW()-1&lt;=0,"",IF(ROW()-1&lt;=$L$2,IFERROR(INDEX(MCQ!$A:$K,ROW()-1+1,4),""),IF(ROW()-1&lt;=$L$2+$M$2,IFERROR(INDEX(CLOZE_AB!$A:$K,ROW()-1-$L$2+1,4),""),IF(ROW()-1&lt;=$L$2+$M$2+$N$2,IFERROR(INDEX(CLOZE_LIST!$A:$K,ROW()-1-$L$2-$M$2+1,4),""),IF(ROW()-1&lt;=$L$2+$M$2+$N$2+$O$2,IFERROR(INDEX(PROFORMA!$A:$K,ROW()-1-$L$2-$M$2-$N$2+1,4),""),"")))))</f>
        <v>Employee share schemes</v>
      </c>
      <c r="E141" s="3" t="str">
        <f>IF(ROW()-1&lt;=0,"",IF(ROW()-1&lt;=$L$2,IFERROR(INDEX(MCQ!$A:$K,ROW()-1+1,5),""),IF(ROW()-1&lt;=$L$2+$M$2,IFERROR(INDEX(CLOZE_AB!$A:$K,ROW()-1-$L$2+1,5),""),IF(ROW()-1&lt;=$L$2+$M$2+$N$2,IFERROR(INDEX(CLOZE_LIST!$A:$K,ROW()-1-$L$2-$M$2+1,5),""),IF(ROW()-1&lt;=$L$2+$M$2+$N$2+$O$2,IFERROR(INDEX(PROFORMA!$A:$K,ROW()-1-$L$2-$M$2-$N$2+1,5),""),"")))))</f>
        <v>cloze_ab</v>
      </c>
      <c r="F141" s="3">
        <f>IF(ROW()-1&lt;=0,"",IF(ROW()-1&lt;=$L$2,IFERROR(INDEX(MCQ!$A:$K,ROW()-1+1,6),""),IF(ROW()-1&lt;=$L$2+$M$2,IFERROR(INDEX(CLOZE_AB!$A:$K,ROW()-1-$L$2+1,6),""),IF(ROW()-1&lt;=$L$2+$M$2+$N$2,IFERROR(INDEX(CLOZE_LIST!$A:$K,ROW()-1-$L$2-$M$2+1,6),""),IF(ROW()-1&lt;=$L$2+$M$2+$N$2+$O$2,IFERROR(INDEX(PROFORMA!$A:$K,ROW()-1-$L$2-$M$2-$N$2+1,6),""),"")))))</f>
        <v>3</v>
      </c>
      <c r="G141" s="3">
        <f>IF(ROW()-1&lt;=0,"",IF(ROW()-1&lt;=$L$2,IFERROR(INDEX(MCQ!$A:$K,ROW()-1+1,7),""),IF(ROW()-1&lt;=$L$2+$M$2,IFERROR(INDEX(CLOZE_AB!$A:$K,ROW()-1-$L$2+1,7),""),IF(ROW()-1&lt;=$L$2+$M$2+$N$2,IFERROR(INDEX(CLOZE_LIST!$A:$K,ROW()-1-$L$2-$M$2+1,7),""),IF(ROW()-1&lt;=$L$2+$M$2+$N$2+$O$2,IFERROR(INDEX(PROFORMA!$A:$K,ROW()-1-$L$2-$M$2-$N$2+1,7),""),"")))))</f>
        <v>0</v>
      </c>
      <c r="H141" s="3" t="str">
        <f>IF(ROW()-1&lt;=0,"",IF(ROW()-1&lt;=$L$2,IFERROR(INDEX(MCQ!$A:$K,ROW()-1+1,8),""),IF(ROW()-1&lt;=$L$2+$M$2,IFERROR(INDEX(CLOZE_AB!$A:$K,ROW()-1-$L$2+1,8),""),IF(ROW()-1&lt;=$L$2+$M$2+$N$2,IFERROR(INDEX(CLOZE_LIST!$A:$K,ROW()-1-$L$2-$M$2+1,8),""),IF(ROW()-1&lt;=$L$2+$M$2+$N$2+$O$2,IFERROR(INDEX(PROFORMA!$A:$K,ROW()-1-$L$2-$M$2-$N$2+1,8),""),"")))))</f>
        <v>Y</v>
      </c>
      <c r="I141" s="3" t="str">
        <f>IF(ROW()-1&lt;=0,"",IF(ROW()-1&lt;=$L$2,IFERROR(INDEX(MCQ!$A:$K,ROW()-1+1,9),""),IF(ROW()-1&lt;=$L$2+$M$2,IFERROR(INDEX(CLOZE_AB!$A:$K,ROW()-1-$L$2+1,9),""),IF(ROW()-1&lt;=$L$2+$M$2+$N$2,IFERROR(INDEX(CLOZE_LIST!$A:$K,ROW()-1-$L$2-$M$2+1,9),""),IF(ROW()-1&lt;=$L$2+$M$2+$N$2+$O$2,IFERROR(INDEX(PROFORMA!$A:$K,ROW()-1-$L$2-$M$2-$N$2+1,9),""),"")))))</f>
        <v>csop|shares</v>
      </c>
      <c r="J141" s="3" t="str">
        <f>IF(ROW()-1&lt;=0,"",IF(ROW()-1&lt;=$L$2,IFERROR(INDEX(MCQ!$A:$K,ROW()-1+1,10),""),IF(ROW()-1&lt;=$L$2+$M$2,IFERROR(INDEX(CLOZE_AB!$A:$K,ROW()-1-$L$2+1,10),""),IF(ROW()-1&lt;=$L$2+$M$2+$N$2,IFERROR(INDEX(CLOZE_LIST!$A:$K,ROW()-1-$L$2-$M$2+1,10),""),IF(ROW()-1&lt;=$L$2+$M$2+$N$2+$O$2,IFERROR(INDEX(PROFORMA!$A:$K,ROW()-1-$L$2-$M$2-$N$2+1,10),""),"")))))</f>
        <v>user_notes</v>
      </c>
      <c r="K141" s="3">
        <f>IF(ROW()-1&lt;=0,"",IF(ROW()-1&lt;=$L$2,IFERROR(INDEX(MCQ!$A:$K,ROW()-1+1,11),""),IF(ROW()-1&lt;=$L$2+$M$2,IFERROR(INDEX(CLOZE_AB!$A:$K,ROW()-1-$L$2+1,11),""),IF(ROW()-1&lt;=$L$2+$M$2+$N$2,IFERROR(INDEX(CLOZE_LIST!$A:$K,ROW()-1-$L$2-$M$2+1,11),""),IF(ROW()-1&lt;=$L$2+$M$2+$N$2+$O$2,IFERROR(INDEX(PROFORMA!$A:$K,ROW()-1-$L$2-$M$2-$N$2+1,11),""),"")))))</f>
        <v>1</v>
      </c>
      <c r="L141" s="3">
        <f>COUNTA(MCQ!$A:$A)-1</f>
        <v>122</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AB_ITNIC_REQ_EMPSHARESCHEME_007</v>
      </c>
      <c r="B142" s="3" t="str">
        <f>IF(ROW()-1&lt;=0,"",IF(ROW()-1&lt;=$L$2,IFERROR(INDEX(MCQ!$A:$K,ROW()-1+1,2),""),IF(ROW()-1&lt;=$L$2+$M$2,IFERROR(INDEX(CLOZE_AB!$A:$K,ROW()-1-$L$2+1,2),""),IF(ROW()-1&lt;=$L$2+$M$2+$N$2,IFERROR(INDEX(CLOZE_LIST!$A:$K,ROW()-1-$L$2-$M$2+1,2),""),IF(ROW()-1&lt;=$L$2+$M$2+$N$2+$O$2,IFERROR(INDEX(PROFORMA!$A:$K,ROW()-1-$L$2-$M$2-$N$2+1,2),""),"")))))</f>
        <v>Income tax &amp; NIC</v>
      </c>
      <c r="C142" s="3" t="str">
        <f>IF(ROW()-1&lt;=0,"",IF(ROW()-1&lt;=$L$2,IFERROR(INDEX(MCQ!$A:$K,ROW()-1+1,3),""),IF(ROW()-1&lt;=$L$2+$M$2,IFERROR(INDEX(CLOZE_AB!$A:$K,ROW()-1-$L$2+1,3),""),IF(ROW()-1&lt;=$L$2+$M$2+$N$2,IFERROR(INDEX(CLOZE_LIST!$A:$K,ROW()-1-$L$2-$M$2+1,3),""),IF(ROW()-1&lt;=$L$2+$M$2+$N$2+$O$2,IFERROR(INDEX(PROFORMA!$A:$K,ROW()-1-$L$2-$M$2-$N$2+1,3),""),"")))))</f>
        <v>requirements</v>
      </c>
      <c r="D142" s="3" t="str">
        <f>IF(ROW()-1&lt;=0,"",IF(ROW()-1&lt;=$L$2,IFERROR(INDEX(MCQ!$A:$K,ROW()-1+1,4),""),IF(ROW()-1&lt;=$L$2+$M$2,IFERROR(INDEX(CLOZE_AB!$A:$K,ROW()-1-$L$2+1,4),""),IF(ROW()-1&lt;=$L$2+$M$2+$N$2,IFERROR(INDEX(CLOZE_LIST!$A:$K,ROW()-1-$L$2-$M$2+1,4),""),IF(ROW()-1&lt;=$L$2+$M$2+$N$2+$O$2,IFERROR(INDEX(PROFORMA!$A:$K,ROW()-1-$L$2-$M$2-$N$2+1,4),""),"")))))</f>
        <v>Employee share schemes</v>
      </c>
      <c r="E142" s="3" t="str">
        <f>IF(ROW()-1&lt;=0,"",IF(ROW()-1&lt;=$L$2,IFERROR(INDEX(MCQ!$A:$K,ROW()-1+1,5),""),IF(ROW()-1&lt;=$L$2+$M$2,IFERROR(INDEX(CLOZE_AB!$A:$K,ROW()-1-$L$2+1,5),""),IF(ROW()-1&lt;=$L$2+$M$2+$N$2,IFERROR(INDEX(CLOZE_LIST!$A:$K,ROW()-1-$L$2-$M$2+1,5),""),IF(ROW()-1&lt;=$L$2+$M$2+$N$2+$O$2,IFERROR(INDEX(PROFORMA!$A:$K,ROW()-1-$L$2-$M$2-$N$2+1,5),""),"")))))</f>
        <v>cloze_ab</v>
      </c>
      <c r="F142" s="3">
        <f>IF(ROW()-1&lt;=0,"",IF(ROW()-1&lt;=$L$2,IFERROR(INDEX(MCQ!$A:$K,ROW()-1+1,6),""),IF(ROW()-1&lt;=$L$2+$M$2,IFERROR(INDEX(CLOZE_AB!$A:$K,ROW()-1-$L$2+1,6),""),IF(ROW()-1&lt;=$L$2+$M$2+$N$2,IFERROR(INDEX(CLOZE_LIST!$A:$K,ROW()-1-$L$2-$M$2+1,6),""),IF(ROW()-1&lt;=$L$2+$M$2+$N$2+$O$2,IFERROR(INDEX(PROFORMA!$A:$K,ROW()-1-$L$2-$M$2-$N$2+1,6),""),"")))))</f>
        <v>3</v>
      </c>
      <c r="G142" s="3">
        <f>IF(ROW()-1&lt;=0,"",IF(ROW()-1&lt;=$L$2,IFERROR(INDEX(MCQ!$A:$K,ROW()-1+1,7),""),IF(ROW()-1&lt;=$L$2+$M$2,IFERROR(INDEX(CLOZE_AB!$A:$K,ROW()-1-$L$2+1,7),""),IF(ROW()-1&lt;=$L$2+$M$2+$N$2,IFERROR(INDEX(CLOZE_LIST!$A:$K,ROW()-1-$L$2-$M$2+1,7),""),IF(ROW()-1&lt;=$L$2+$M$2+$N$2+$O$2,IFERROR(INDEX(PROFORMA!$A:$K,ROW()-1-$L$2-$M$2-$N$2+1,7),""),"")))))</f>
        <v>0</v>
      </c>
      <c r="H142" s="3" t="str">
        <f>IF(ROW()-1&lt;=0,"",IF(ROW()-1&lt;=$L$2,IFERROR(INDEX(MCQ!$A:$K,ROW()-1+1,8),""),IF(ROW()-1&lt;=$L$2+$M$2,IFERROR(INDEX(CLOZE_AB!$A:$K,ROW()-1-$L$2+1,8),""),IF(ROW()-1&lt;=$L$2+$M$2+$N$2,IFERROR(INDEX(CLOZE_LIST!$A:$K,ROW()-1-$L$2-$M$2+1,8),""),IF(ROW()-1&lt;=$L$2+$M$2+$N$2+$O$2,IFERROR(INDEX(PROFORMA!$A:$K,ROW()-1-$L$2-$M$2-$N$2+1,8),""),"")))))</f>
        <v>Y</v>
      </c>
      <c r="I142" s="3" t="str">
        <f>IF(ROW()-1&lt;=0,"",IF(ROW()-1&lt;=$L$2,IFERROR(INDEX(MCQ!$A:$K,ROW()-1+1,9),""),IF(ROW()-1&lt;=$L$2+$M$2,IFERROR(INDEX(CLOZE_AB!$A:$K,ROW()-1-$L$2+1,9),""),IF(ROW()-1&lt;=$L$2+$M$2+$N$2,IFERROR(INDEX(CLOZE_LIST!$A:$K,ROW()-1-$L$2-$M$2+1,9),""),IF(ROW()-1&lt;=$L$2+$M$2+$N$2+$O$2,IFERROR(INDEX(PROFORMA!$A:$K,ROW()-1-$L$2-$M$2-$N$2+1,9),""),"")))))</f>
        <v>csop|eligibility</v>
      </c>
      <c r="J142" s="3" t="str">
        <f>IF(ROW()-1&lt;=0,"",IF(ROW()-1&lt;=$L$2,IFERROR(INDEX(MCQ!$A:$K,ROW()-1+1,10),""),IF(ROW()-1&lt;=$L$2+$M$2,IFERROR(INDEX(CLOZE_AB!$A:$K,ROW()-1-$L$2+1,10),""),IF(ROW()-1&lt;=$L$2+$M$2+$N$2,IFERROR(INDEX(CLOZE_LIST!$A:$K,ROW()-1-$L$2-$M$2+1,10),""),IF(ROW()-1&lt;=$L$2+$M$2+$N$2+$O$2,IFERROR(INDEX(PROFORMA!$A:$K,ROW()-1-$L$2-$M$2-$N$2+1,10),""),"")))))</f>
        <v>user_notes</v>
      </c>
      <c r="K142" s="3">
        <f>IF(ROW()-1&lt;=0,"",IF(ROW()-1&lt;=$L$2,IFERROR(INDEX(MCQ!$A:$K,ROW()-1+1,11),""),IF(ROW()-1&lt;=$L$2+$M$2,IFERROR(INDEX(CLOZE_AB!$A:$K,ROW()-1-$L$2+1,11),""),IF(ROW()-1&lt;=$L$2+$M$2+$N$2,IFERROR(INDEX(CLOZE_LIST!$A:$K,ROW()-1-$L$2-$M$2+1,11),""),IF(ROW()-1&lt;=$L$2+$M$2+$N$2+$O$2,IFERROR(INDEX(PROFORMA!$A:$K,ROW()-1-$L$2-$M$2-$N$2+1,11),""),"")))))</f>
        <v>1</v>
      </c>
      <c r="L142" s="3">
        <f>COUNTA(MCQ!$A:$A)-1</f>
        <v>122</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AB_ITNIC_REQ_EMPSHARESCHEME_008</v>
      </c>
      <c r="B143" s="3" t="str">
        <f>IF(ROW()-1&lt;=0,"",IF(ROW()-1&lt;=$L$2,IFERROR(INDEX(MCQ!$A:$K,ROW()-1+1,2),""),IF(ROW()-1&lt;=$L$2+$M$2,IFERROR(INDEX(CLOZE_AB!$A:$K,ROW()-1-$L$2+1,2),""),IF(ROW()-1&lt;=$L$2+$M$2+$N$2,IFERROR(INDEX(CLOZE_LIST!$A:$K,ROW()-1-$L$2-$M$2+1,2),""),IF(ROW()-1&lt;=$L$2+$M$2+$N$2+$O$2,IFERROR(INDEX(PROFORMA!$A:$K,ROW()-1-$L$2-$M$2-$N$2+1,2),""),"")))))</f>
        <v>Income tax &amp; NIC</v>
      </c>
      <c r="C143" s="3" t="str">
        <f>IF(ROW()-1&lt;=0,"",IF(ROW()-1&lt;=$L$2,IFERROR(INDEX(MCQ!$A:$K,ROW()-1+1,3),""),IF(ROW()-1&lt;=$L$2+$M$2,IFERROR(INDEX(CLOZE_AB!$A:$K,ROW()-1-$L$2+1,3),""),IF(ROW()-1&lt;=$L$2+$M$2+$N$2,IFERROR(INDEX(CLOZE_LIST!$A:$K,ROW()-1-$L$2-$M$2+1,3),""),IF(ROW()-1&lt;=$L$2+$M$2+$N$2+$O$2,IFERROR(INDEX(PROFORMA!$A:$K,ROW()-1-$L$2-$M$2-$N$2+1,3),""),"")))))</f>
        <v>requirements</v>
      </c>
      <c r="D143" s="3" t="str">
        <f>IF(ROW()-1&lt;=0,"",IF(ROW()-1&lt;=$L$2,IFERROR(INDEX(MCQ!$A:$K,ROW()-1+1,4),""),IF(ROW()-1&lt;=$L$2+$M$2,IFERROR(INDEX(CLOZE_AB!$A:$K,ROW()-1-$L$2+1,4),""),IF(ROW()-1&lt;=$L$2+$M$2+$N$2,IFERROR(INDEX(CLOZE_LIST!$A:$K,ROW()-1-$L$2-$M$2+1,4),""),IF(ROW()-1&lt;=$L$2+$M$2+$N$2+$O$2,IFERROR(INDEX(PROFORMA!$A:$K,ROW()-1-$L$2-$M$2-$N$2+1,4),""),"")))))</f>
        <v>Employee share schemes</v>
      </c>
      <c r="E143" s="3" t="str">
        <f>IF(ROW()-1&lt;=0,"",IF(ROW()-1&lt;=$L$2,IFERROR(INDEX(MCQ!$A:$K,ROW()-1+1,5),""),IF(ROW()-1&lt;=$L$2+$M$2,IFERROR(INDEX(CLOZE_AB!$A:$K,ROW()-1-$L$2+1,5),""),IF(ROW()-1&lt;=$L$2+$M$2+$N$2,IFERROR(INDEX(CLOZE_LIST!$A:$K,ROW()-1-$L$2-$M$2+1,5),""),IF(ROW()-1&lt;=$L$2+$M$2+$N$2+$O$2,IFERROR(INDEX(PROFORMA!$A:$K,ROW()-1-$L$2-$M$2-$N$2+1,5),""),"")))))</f>
        <v>cloze_ab</v>
      </c>
      <c r="F143" s="3">
        <f>IF(ROW()-1&lt;=0,"",IF(ROW()-1&lt;=$L$2,IFERROR(INDEX(MCQ!$A:$K,ROW()-1+1,6),""),IF(ROW()-1&lt;=$L$2+$M$2,IFERROR(INDEX(CLOZE_AB!$A:$K,ROW()-1-$L$2+1,6),""),IF(ROW()-1&lt;=$L$2+$M$2+$N$2,IFERROR(INDEX(CLOZE_LIST!$A:$K,ROW()-1-$L$2-$M$2+1,6),""),IF(ROW()-1&lt;=$L$2+$M$2+$N$2+$O$2,IFERROR(INDEX(PROFORMA!$A:$K,ROW()-1-$L$2-$M$2-$N$2+1,6),""),"")))))</f>
        <v>3</v>
      </c>
      <c r="G143" s="3">
        <f>IF(ROW()-1&lt;=0,"",IF(ROW()-1&lt;=$L$2,IFERROR(INDEX(MCQ!$A:$K,ROW()-1+1,7),""),IF(ROW()-1&lt;=$L$2+$M$2,IFERROR(INDEX(CLOZE_AB!$A:$K,ROW()-1-$L$2+1,7),""),IF(ROW()-1&lt;=$L$2+$M$2+$N$2,IFERROR(INDEX(CLOZE_LIST!$A:$K,ROW()-1-$L$2-$M$2+1,7),""),IF(ROW()-1&lt;=$L$2+$M$2+$N$2+$O$2,IFERROR(INDEX(PROFORMA!$A:$K,ROW()-1-$L$2-$M$2-$N$2+1,7),""),"")))))</f>
        <v>0</v>
      </c>
      <c r="H143" s="3" t="str">
        <f>IF(ROW()-1&lt;=0,"",IF(ROW()-1&lt;=$L$2,IFERROR(INDEX(MCQ!$A:$K,ROW()-1+1,8),""),IF(ROW()-1&lt;=$L$2+$M$2,IFERROR(INDEX(CLOZE_AB!$A:$K,ROW()-1-$L$2+1,8),""),IF(ROW()-1&lt;=$L$2+$M$2+$N$2,IFERROR(INDEX(CLOZE_LIST!$A:$K,ROW()-1-$L$2-$M$2+1,8),""),IF(ROW()-1&lt;=$L$2+$M$2+$N$2+$O$2,IFERROR(INDEX(PROFORMA!$A:$K,ROW()-1-$L$2-$M$2-$N$2+1,8),""),"")))))</f>
        <v>Y</v>
      </c>
      <c r="I143" s="3" t="str">
        <f>IF(ROW()-1&lt;=0,"",IF(ROW()-1&lt;=$L$2,IFERROR(INDEX(MCQ!$A:$K,ROW()-1+1,9),""),IF(ROW()-1&lt;=$L$2+$M$2,IFERROR(INDEX(CLOZE_AB!$A:$K,ROW()-1-$L$2+1,9),""),IF(ROW()-1&lt;=$L$2+$M$2+$N$2,IFERROR(INDEX(CLOZE_LIST!$A:$K,ROW()-1-$L$2-$M$2+1,9),""),IF(ROW()-1&lt;=$L$2+$M$2+$N$2+$O$2,IFERROR(INDEX(PROFORMA!$A:$K,ROW()-1-$L$2-$M$2-$N$2+1,9),""),"")))))</f>
        <v>csop|population</v>
      </c>
      <c r="J143" s="3" t="str">
        <f>IF(ROW()-1&lt;=0,"",IF(ROW()-1&lt;=$L$2,IFERROR(INDEX(MCQ!$A:$K,ROW()-1+1,10),""),IF(ROW()-1&lt;=$L$2+$M$2,IFERROR(INDEX(CLOZE_AB!$A:$K,ROW()-1-$L$2+1,10),""),IF(ROW()-1&lt;=$L$2+$M$2+$N$2,IFERROR(INDEX(CLOZE_LIST!$A:$K,ROW()-1-$L$2-$M$2+1,10),""),IF(ROW()-1&lt;=$L$2+$M$2+$N$2+$O$2,IFERROR(INDEX(PROFORMA!$A:$K,ROW()-1-$L$2-$M$2-$N$2+1,10),""),"")))))</f>
        <v>user_notes</v>
      </c>
      <c r="K143" s="3">
        <f>IF(ROW()-1&lt;=0,"",IF(ROW()-1&lt;=$L$2,IFERROR(INDEX(MCQ!$A:$K,ROW()-1+1,11),""),IF(ROW()-1&lt;=$L$2+$M$2,IFERROR(INDEX(CLOZE_AB!$A:$K,ROW()-1-$L$2+1,11),""),IF(ROW()-1&lt;=$L$2+$M$2+$N$2,IFERROR(INDEX(CLOZE_LIST!$A:$K,ROW()-1-$L$2-$M$2+1,11),""),IF(ROW()-1&lt;=$L$2+$M$2+$N$2+$O$2,IFERROR(INDEX(PROFORMA!$A:$K,ROW()-1-$L$2-$M$2-$N$2+1,11),""),"")))))</f>
        <v>1</v>
      </c>
      <c r="L143" s="3">
        <f>COUNTA(MCQ!$A:$A)-1</f>
        <v>122</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AB_ITNIC_REQ_EMPSHARESCHEME_009</v>
      </c>
      <c r="B144" s="3" t="str">
        <f>IF(ROW()-1&lt;=0,"",IF(ROW()-1&lt;=$L$2,IFERROR(INDEX(MCQ!$A:$K,ROW()-1+1,2),""),IF(ROW()-1&lt;=$L$2+$M$2,IFERROR(INDEX(CLOZE_AB!$A:$K,ROW()-1-$L$2+1,2),""),IF(ROW()-1&lt;=$L$2+$M$2+$N$2,IFERROR(INDEX(CLOZE_LIST!$A:$K,ROW()-1-$L$2-$M$2+1,2),""),IF(ROW()-1&lt;=$L$2+$M$2+$N$2+$O$2,IFERROR(INDEX(PROFORMA!$A:$K,ROW()-1-$L$2-$M$2-$N$2+1,2),""),"")))))</f>
        <v>Income tax &amp; NIC</v>
      </c>
      <c r="C144" s="3" t="str">
        <f>IF(ROW()-1&lt;=0,"",IF(ROW()-1&lt;=$L$2,IFERROR(INDEX(MCQ!$A:$K,ROW()-1+1,3),""),IF(ROW()-1&lt;=$L$2+$M$2,IFERROR(INDEX(CLOZE_AB!$A:$K,ROW()-1-$L$2+1,3),""),IF(ROW()-1&lt;=$L$2+$M$2+$N$2,IFERROR(INDEX(CLOZE_LIST!$A:$K,ROW()-1-$L$2-$M$2+1,3),""),IF(ROW()-1&lt;=$L$2+$M$2+$N$2+$O$2,IFERROR(INDEX(PROFORMA!$A:$K,ROW()-1-$L$2-$M$2-$N$2+1,3),""),"")))))</f>
        <v>requirements</v>
      </c>
      <c r="D144" s="3" t="str">
        <f>IF(ROW()-1&lt;=0,"",IF(ROW()-1&lt;=$L$2,IFERROR(INDEX(MCQ!$A:$K,ROW()-1+1,4),""),IF(ROW()-1&lt;=$L$2+$M$2,IFERROR(INDEX(CLOZE_AB!$A:$K,ROW()-1-$L$2+1,4),""),IF(ROW()-1&lt;=$L$2+$M$2+$N$2,IFERROR(INDEX(CLOZE_LIST!$A:$K,ROW()-1-$L$2-$M$2+1,4),""),IF(ROW()-1&lt;=$L$2+$M$2+$N$2+$O$2,IFERROR(INDEX(PROFORMA!$A:$K,ROW()-1-$L$2-$M$2-$N$2+1,4),""),"")))))</f>
        <v>Employee share schemes</v>
      </c>
      <c r="E144" s="3" t="str">
        <f>IF(ROW()-1&lt;=0,"",IF(ROW()-1&lt;=$L$2,IFERROR(INDEX(MCQ!$A:$K,ROW()-1+1,5),""),IF(ROW()-1&lt;=$L$2+$M$2,IFERROR(INDEX(CLOZE_AB!$A:$K,ROW()-1-$L$2+1,5),""),IF(ROW()-1&lt;=$L$2+$M$2+$N$2,IFERROR(INDEX(CLOZE_LIST!$A:$K,ROW()-1-$L$2-$M$2+1,5),""),IF(ROW()-1&lt;=$L$2+$M$2+$N$2+$O$2,IFERROR(INDEX(PROFORMA!$A:$K,ROW()-1-$L$2-$M$2-$N$2+1,5),""),"")))))</f>
        <v>cloze_ab</v>
      </c>
      <c r="F144" s="3">
        <f>IF(ROW()-1&lt;=0,"",IF(ROW()-1&lt;=$L$2,IFERROR(INDEX(MCQ!$A:$K,ROW()-1+1,6),""),IF(ROW()-1&lt;=$L$2+$M$2,IFERROR(INDEX(CLOZE_AB!$A:$K,ROW()-1-$L$2+1,6),""),IF(ROW()-1&lt;=$L$2+$M$2+$N$2,IFERROR(INDEX(CLOZE_LIST!$A:$K,ROW()-1-$L$2-$M$2+1,6),""),IF(ROW()-1&lt;=$L$2+$M$2+$N$2+$O$2,IFERROR(INDEX(PROFORMA!$A:$K,ROW()-1-$L$2-$M$2-$N$2+1,6),""),"")))))</f>
        <v>3</v>
      </c>
      <c r="G144" s="3">
        <f>IF(ROW()-1&lt;=0,"",IF(ROW()-1&lt;=$L$2,IFERROR(INDEX(MCQ!$A:$K,ROW()-1+1,7),""),IF(ROW()-1&lt;=$L$2+$M$2,IFERROR(INDEX(CLOZE_AB!$A:$K,ROW()-1-$L$2+1,7),""),IF(ROW()-1&lt;=$L$2+$M$2+$N$2,IFERROR(INDEX(CLOZE_LIST!$A:$K,ROW()-1-$L$2-$M$2+1,7),""),IF(ROW()-1&lt;=$L$2+$M$2+$N$2+$O$2,IFERROR(INDEX(PROFORMA!$A:$K,ROW()-1-$L$2-$M$2-$N$2+1,7),""),"")))))</f>
        <v>0</v>
      </c>
      <c r="H144" s="3" t="str">
        <f>IF(ROW()-1&lt;=0,"",IF(ROW()-1&lt;=$L$2,IFERROR(INDEX(MCQ!$A:$K,ROW()-1+1,8),""),IF(ROW()-1&lt;=$L$2+$M$2,IFERROR(INDEX(CLOZE_AB!$A:$K,ROW()-1-$L$2+1,8),""),IF(ROW()-1&lt;=$L$2+$M$2+$N$2,IFERROR(INDEX(CLOZE_LIST!$A:$K,ROW()-1-$L$2-$M$2+1,8),""),IF(ROW()-1&lt;=$L$2+$M$2+$N$2+$O$2,IFERROR(INDEX(PROFORMA!$A:$K,ROW()-1-$L$2-$M$2-$N$2+1,8),""),"")))))</f>
        <v>Y</v>
      </c>
      <c r="I144" s="3" t="str">
        <f>IF(ROW()-1&lt;=0,"",IF(ROW()-1&lt;=$L$2,IFERROR(INDEX(MCQ!$A:$K,ROW()-1+1,9),""),IF(ROW()-1&lt;=$L$2+$M$2,IFERROR(INDEX(CLOZE_AB!$A:$K,ROW()-1-$L$2+1,9),""),IF(ROW()-1&lt;=$L$2+$M$2+$N$2,IFERROR(INDEX(CLOZE_LIST!$A:$K,ROW()-1-$L$2-$M$2+1,9),""),IF(ROW()-1&lt;=$L$2+$M$2+$N$2+$O$2,IFERROR(INDEX(PROFORMA!$A:$K,ROW()-1-$L$2-$M$2-$N$2+1,9),""),"")))))</f>
        <v>csop|window</v>
      </c>
      <c r="J144" s="3" t="str">
        <f>IF(ROW()-1&lt;=0,"",IF(ROW()-1&lt;=$L$2,IFERROR(INDEX(MCQ!$A:$K,ROW()-1+1,10),""),IF(ROW()-1&lt;=$L$2+$M$2,IFERROR(INDEX(CLOZE_AB!$A:$K,ROW()-1-$L$2+1,10),""),IF(ROW()-1&lt;=$L$2+$M$2+$N$2,IFERROR(INDEX(CLOZE_LIST!$A:$K,ROW()-1-$L$2-$M$2+1,10),""),IF(ROW()-1&lt;=$L$2+$M$2+$N$2+$O$2,IFERROR(INDEX(PROFORMA!$A:$K,ROW()-1-$L$2-$M$2-$N$2+1,10),""),"")))))</f>
        <v>user_notes</v>
      </c>
      <c r="K144" s="3">
        <f>IF(ROW()-1&lt;=0,"",IF(ROW()-1&lt;=$L$2,IFERROR(INDEX(MCQ!$A:$K,ROW()-1+1,11),""),IF(ROW()-1&lt;=$L$2+$M$2,IFERROR(INDEX(CLOZE_AB!$A:$K,ROW()-1-$L$2+1,11),""),IF(ROW()-1&lt;=$L$2+$M$2+$N$2,IFERROR(INDEX(CLOZE_LIST!$A:$K,ROW()-1-$L$2-$M$2+1,11),""),IF(ROW()-1&lt;=$L$2+$M$2+$N$2+$O$2,IFERROR(INDEX(PROFORMA!$A:$K,ROW()-1-$L$2-$M$2-$N$2+1,11),""),"")))))</f>
        <v>1</v>
      </c>
      <c r="L144" s="3">
        <f>COUNTA(MCQ!$A:$A)-1</f>
        <v>122</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AB_ITNIC_REQ_EMPSHARESCHEME_010</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Employee share schemes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csop|cap</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122</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AB_ITNIC_REQ_EMPSHARESCHEME_011</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Employee share schemes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csop|disposal</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122</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AB_ITNIC_REQ_EMPSHARESCHEME_012</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Employee share schemes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emi|purpose</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122</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AB_ITNIC_REQ_EMPSHARESCHEME_013</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Employee share schemes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emi|company</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122</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AB_ITNIC_REQ_EMPSHARESCHEME_014</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Employee share schemes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emi|company2</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122</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AB_ITNIC_REQ_EMPSHARESCHEME_015</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Employee share schemes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emi|employee</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122</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AB_ITNIC_REQ_EMPSHARESCHEME_016</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Employee share schemes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emi|ownership</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122</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AB_ITNIC_REQ_EMPSHARESCHEME_017</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Employee share schemes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emi|sharetype</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122</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AB_ITNIC_REQ_EMPSHARESCHEME_018</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Employee share schemes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emi|limits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122</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AB_ITNIC_REQ_EMPSHARESCHEME_019</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Employee share schemes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emi|interactions</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122</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AB_ITNIC_REQ_EMPSHARESCHEME_020</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Employee share schemes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emi|targets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122</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AB_ITNIC_REQ_EMPSHARESCHEME_021</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Employee share schemes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emi|discount</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122</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AB_ITNIC_REQ_EMPSHARESCHEME_022</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emi|nic|listed</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122</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AB_ITNIC_REQ_EMPSHARESCHEME_023</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emi|badr</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122</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AB_ITNIC_REQ_EMPSHARESCHEME_024</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sip|structure</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122</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AB_ITNIC_REQ_EMPSHARESCHEME_025</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sip|eligibility</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122</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AB_ITNIC_REQ_EMPSHARESCHEME_026</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sip|company</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122</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AB_ITNIC_REQ_EMPSHARESCHEME_027</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sip|free</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122</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AB_ITNIC_REQ_EMPSHARESCHEME_028</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sip|partnership</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122</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AB_ITNIC_REQ_EMPSHARESCHEME_029</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sip|matching</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122</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AB_ITNIC_REQ_EMPSHARESCHEME_030</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sip|dividends</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122</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AB_ITNIC_REQ_EMPSHARESCHEME_031</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sip|exit5</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122</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AB_ITNIC_REQ_EMPSHARESCHEME_032</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sip|exit3</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122</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AB_ITNIC_REQ_EMPSHARESCHEME_033</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sip|exit35</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122</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AB_ITNIC_REQ_EMPSHARESCHEME_034</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compare|tax</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122</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AB_ITNIC_CALC_DISALLOW_001</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calculations</v>
      </c>
      <c r="D170" s="3" t="str">
        <f>IF(ROW()-1&lt;=0,"",IF(ROW()-1&lt;=$L$2,IFERROR(INDEX(MCQ!$A:$K,ROW()-1+1,4),""),IF(ROW()-1&lt;=$L$2+$M$2,IFERROR(INDEX(CLOZE_AB!$A:$K,ROW()-1-$L$2+1,4),""),IF(ROW()-1&lt;=$L$2+$M$2+$N$2,IFERROR(INDEX(CLOZE_LIST!$A:$K,ROW()-1-$L$2-$M$2+1,4),""),IF(ROW()-1&lt;=$L$2+$M$2+$N$2+$O$2,IFERROR(INDEX(PROFORMA!$A:$K,ROW()-1-$L$2-$M$2-$N$2+1,4),""),"")))))</f>
        <v>Disallowable trading expenses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t="str">
        <f>IF(ROW()-1&lt;=0,"",IF(ROW()-1&lt;=$L$2,IFERROR(INDEX(MCQ!$A:$K,ROW()-1+1,7),""),IF(ROW()-1&lt;=$L$2+$M$2,IFERROR(INDEX(CLOZE_AB!$A:$K,ROW()-1-$L$2+1,7),""),IF(ROW()-1&lt;=$L$2+$M$2+$N$2,IFERROR(INDEX(CLOZE_LIST!$A:$K,ROW()-1-$L$2-$M$2+1,7),""),IF(ROW()-1&lt;=$L$2+$M$2+$N$2+$O$2,IFERROR(INDEX(PROFORMA!$A:$K,ROW()-1-$L$2-$M$2-$N$2+1,7),""),"")))))</f>
        <v>core</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disallowable;capital</v>
      </c>
      <c r="J170" s="3" t="str">
        <f>IF(ROW()-1&lt;=0,"",IF(ROW()-1&lt;=$L$2,IFERROR(INDEX(MCQ!$A:$K,ROW()-1+1,10),""),IF(ROW()-1&lt;=$L$2+$M$2,IFERROR(INDEX(CLOZE_AB!$A:$K,ROW()-1-$L$2+1,10),""),IF(ROW()-1&lt;=$L$2+$M$2+$N$2,IFERROR(INDEX(CLOZE_LIST!$A:$K,ROW()-1-$L$2-$M$2+1,10),""),IF(ROW()-1&lt;=$L$2+$M$2+$N$2+$O$2,IFERROR(INDEX(PROFORMA!$A:$K,ROW()-1-$L$2-$M$2-$N$2+1,10),""),"")))))</f>
        <v>assistant_generated</v>
      </c>
      <c r="K170" s="3">
        <f>IF(ROW()-1&lt;=0,"",IF(ROW()-1&lt;=$L$2,IFERROR(INDEX(MCQ!$A:$K,ROW()-1+1,11),""),IF(ROW()-1&lt;=$L$2+$M$2,IFERROR(INDEX(CLOZE_AB!$A:$K,ROW()-1-$L$2+1,11),""),IF(ROW()-1&lt;=$L$2+$M$2+$N$2,IFERROR(INDEX(CLOZE_LIST!$A:$K,ROW()-1-$L$2-$M$2+1,11),""),IF(ROW()-1&lt;=$L$2+$M$2+$N$2+$O$2,IFERROR(INDEX(PROFORMA!$A:$K,ROW()-1-$L$2-$M$2-$N$2+1,11),""),"")))))</f>
        <v>1</v>
      </c>
      <c r="L170" s="3">
        <f>COUNTA(MCQ!$A:$A)-1</f>
        <v>122</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AB_ITNIC_CALC_DISALLOW_002</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calculations</v>
      </c>
      <c r="D171" s="3" t="str">
        <f>IF(ROW()-1&lt;=0,"",IF(ROW()-1&lt;=$L$2,IFERROR(INDEX(MCQ!$A:$K,ROW()-1+1,4),""),IF(ROW()-1&lt;=$L$2+$M$2,IFERROR(INDEX(CLOZE_AB!$A:$K,ROW()-1-$L$2+1,4),""),IF(ROW()-1&lt;=$L$2+$M$2+$N$2,IFERROR(INDEX(CLOZE_LIST!$A:$K,ROW()-1-$L$2-$M$2+1,4),""),IF(ROW()-1&lt;=$L$2+$M$2+$N$2+$O$2,IFERROR(INDEX(PROFORMA!$A:$K,ROW()-1-$L$2-$M$2-$N$2+1,4),""),"")))))</f>
        <v>Disallowable trading expenses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t="str">
        <f>IF(ROW()-1&lt;=0,"",IF(ROW()-1&lt;=$L$2,IFERROR(INDEX(MCQ!$A:$K,ROW()-1+1,7),""),IF(ROW()-1&lt;=$L$2+$M$2,IFERROR(INDEX(CLOZE_AB!$A:$K,ROW()-1-$L$2+1,7),""),IF(ROW()-1&lt;=$L$2+$M$2+$N$2,IFERROR(INDEX(CLOZE_LIST!$A:$K,ROW()-1-$L$2-$M$2+1,7),""),IF(ROW()-1&lt;=$L$2+$M$2+$N$2+$O$2,IFERROR(INDEX(PROFORMA!$A:$K,ROW()-1-$L$2-$M$2-$N$2+1,7),""),"")))))</f>
        <v>core</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disallowable;tax</v>
      </c>
      <c r="J171" s="3" t="str">
        <f>IF(ROW()-1&lt;=0,"",IF(ROW()-1&lt;=$L$2,IFERROR(INDEX(MCQ!$A:$K,ROW()-1+1,10),""),IF(ROW()-1&lt;=$L$2+$M$2,IFERROR(INDEX(CLOZE_AB!$A:$K,ROW()-1-$L$2+1,10),""),IF(ROW()-1&lt;=$L$2+$M$2+$N$2,IFERROR(INDEX(CLOZE_LIST!$A:$K,ROW()-1-$L$2-$M$2+1,10),""),IF(ROW()-1&lt;=$L$2+$M$2+$N$2+$O$2,IFERROR(INDEX(PROFORMA!$A:$K,ROW()-1-$L$2-$M$2-$N$2+1,10),""),"")))))</f>
        <v>assistant_generated</v>
      </c>
      <c r="K171" s="3">
        <f>IF(ROW()-1&lt;=0,"",IF(ROW()-1&lt;=$L$2,IFERROR(INDEX(MCQ!$A:$K,ROW()-1+1,11),""),IF(ROW()-1&lt;=$L$2+$M$2,IFERROR(INDEX(CLOZE_AB!$A:$K,ROW()-1-$L$2+1,11),""),IF(ROW()-1&lt;=$L$2+$M$2+$N$2,IFERROR(INDEX(CLOZE_LIST!$A:$K,ROW()-1-$L$2-$M$2+1,11),""),IF(ROW()-1&lt;=$L$2+$M$2+$N$2+$O$2,IFERROR(INDEX(PROFORMA!$A:$K,ROW()-1-$L$2-$M$2-$N$2+1,11),""),"")))))</f>
        <v>1</v>
      </c>
      <c r="L171" s="3">
        <f>COUNTA(MCQ!$A:$A)-1</f>
        <v>122</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AB_ITNIC_CALC_DISALLOW_003</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calculations</v>
      </c>
      <c r="D172" s="3" t="str">
        <f>IF(ROW()-1&lt;=0,"",IF(ROW()-1&lt;=$L$2,IFERROR(INDEX(MCQ!$A:$K,ROW()-1+1,4),""),IF(ROW()-1&lt;=$L$2+$M$2,IFERROR(INDEX(CLOZE_AB!$A:$K,ROW()-1-$L$2+1,4),""),IF(ROW()-1&lt;=$L$2+$M$2+$N$2,IFERROR(INDEX(CLOZE_LIST!$A:$K,ROW()-1-$L$2-$M$2+1,4),""),IF(ROW()-1&lt;=$L$2+$M$2+$N$2+$O$2,IFERROR(INDEX(PROFORMA!$A:$K,ROW()-1-$L$2-$M$2-$N$2+1,4),""),"")))))</f>
        <v>Disallowable trading expenses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t="str">
        <f>IF(ROW()-1&lt;=0,"",IF(ROW()-1&lt;=$L$2,IFERROR(INDEX(MCQ!$A:$K,ROW()-1+1,7),""),IF(ROW()-1&lt;=$L$2+$M$2,IFERROR(INDEX(CLOZE_AB!$A:$K,ROW()-1-$L$2+1,7),""),IF(ROW()-1&lt;=$L$2+$M$2+$N$2,IFERROR(INDEX(CLOZE_LIST!$A:$K,ROW()-1-$L$2-$M$2+1,7),""),IF(ROW()-1&lt;=$L$2+$M$2+$N$2+$O$2,IFERROR(INDEX(PROFORMA!$A:$K,ROW()-1-$L$2-$M$2-$N$2+1,7),""),"")))))</f>
        <v>core</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disallowable;depreciation</v>
      </c>
      <c r="J172" s="3" t="str">
        <f>IF(ROW()-1&lt;=0,"",IF(ROW()-1&lt;=$L$2,IFERROR(INDEX(MCQ!$A:$K,ROW()-1+1,10),""),IF(ROW()-1&lt;=$L$2+$M$2,IFERROR(INDEX(CLOZE_AB!$A:$K,ROW()-1-$L$2+1,10),""),IF(ROW()-1&lt;=$L$2+$M$2+$N$2,IFERROR(INDEX(CLOZE_LIST!$A:$K,ROW()-1-$L$2-$M$2+1,10),""),IF(ROW()-1&lt;=$L$2+$M$2+$N$2+$O$2,IFERROR(INDEX(PROFORMA!$A:$K,ROW()-1-$L$2-$M$2-$N$2+1,10),""),"")))))</f>
        <v>assistant_generated</v>
      </c>
      <c r="K172" s="3">
        <f>IF(ROW()-1&lt;=0,"",IF(ROW()-1&lt;=$L$2,IFERROR(INDEX(MCQ!$A:$K,ROW()-1+1,11),""),IF(ROW()-1&lt;=$L$2+$M$2,IFERROR(INDEX(CLOZE_AB!$A:$K,ROW()-1-$L$2+1,11),""),IF(ROW()-1&lt;=$L$2+$M$2+$N$2,IFERROR(INDEX(CLOZE_LIST!$A:$K,ROW()-1-$L$2-$M$2+1,11),""),IF(ROW()-1&lt;=$L$2+$M$2+$N$2+$O$2,IFERROR(INDEX(PROFORMA!$A:$K,ROW()-1-$L$2-$M$2-$N$2+1,11),""),"")))))</f>
        <v>1</v>
      </c>
      <c r="L172" s="3">
        <f>COUNTA(MCQ!$A:$A)-1</f>
        <v>122</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AB_ITNIC_CALC_DISALLOW_004</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calculations</v>
      </c>
      <c r="D173" s="3" t="str">
        <f>IF(ROW()-1&lt;=0,"",IF(ROW()-1&lt;=$L$2,IFERROR(INDEX(MCQ!$A:$K,ROW()-1+1,4),""),IF(ROW()-1&lt;=$L$2+$M$2,IFERROR(INDEX(CLOZE_AB!$A:$K,ROW()-1-$L$2+1,4),""),IF(ROW()-1&lt;=$L$2+$M$2+$N$2,IFERROR(INDEX(CLOZE_LIST!$A:$K,ROW()-1-$L$2-$M$2+1,4),""),IF(ROW()-1&lt;=$L$2+$M$2+$N$2+$O$2,IFERROR(INDEX(PROFORMA!$A:$K,ROW()-1-$L$2-$M$2-$N$2+1,4),""),"")))))</f>
        <v>Disallowable trading expenses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t="str">
        <f>IF(ROW()-1&lt;=0,"",IF(ROW()-1&lt;=$L$2,IFERROR(INDEX(MCQ!$A:$K,ROW()-1+1,7),""),IF(ROW()-1&lt;=$L$2+$M$2,IFERROR(INDEX(CLOZE_AB!$A:$K,ROW()-1-$L$2+1,7),""),IF(ROW()-1&lt;=$L$2+$M$2+$N$2,IFERROR(INDEX(CLOZE_LIST!$A:$K,ROW()-1-$L$2-$M$2+1,7),""),IF(ROW()-1&lt;=$L$2+$M$2+$N$2+$O$2,IFERROR(INDEX(PROFORMA!$A:$K,ROW()-1-$L$2-$M$2-$N$2+1,7),""),"")))))</f>
        <v>core</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disallowable;fines</v>
      </c>
      <c r="J173" s="3" t="str">
        <f>IF(ROW()-1&lt;=0,"",IF(ROW()-1&lt;=$L$2,IFERROR(INDEX(MCQ!$A:$K,ROW()-1+1,10),""),IF(ROW()-1&lt;=$L$2+$M$2,IFERROR(INDEX(CLOZE_AB!$A:$K,ROW()-1-$L$2+1,10),""),IF(ROW()-1&lt;=$L$2+$M$2+$N$2,IFERROR(INDEX(CLOZE_LIST!$A:$K,ROW()-1-$L$2-$M$2+1,10),""),IF(ROW()-1&lt;=$L$2+$M$2+$N$2+$O$2,IFERROR(INDEX(PROFORMA!$A:$K,ROW()-1-$L$2-$M$2-$N$2+1,10),""),"")))))</f>
        <v>assistant_generated</v>
      </c>
      <c r="K173" s="3">
        <f>IF(ROW()-1&lt;=0,"",IF(ROW()-1&lt;=$L$2,IFERROR(INDEX(MCQ!$A:$K,ROW()-1+1,11),""),IF(ROW()-1&lt;=$L$2+$M$2,IFERROR(INDEX(CLOZE_AB!$A:$K,ROW()-1-$L$2+1,11),""),IF(ROW()-1&lt;=$L$2+$M$2+$N$2,IFERROR(INDEX(CLOZE_LIST!$A:$K,ROW()-1-$L$2-$M$2+1,11),""),IF(ROW()-1&lt;=$L$2+$M$2+$N$2+$O$2,IFERROR(INDEX(PROFORMA!$A:$K,ROW()-1-$L$2-$M$2-$N$2+1,11),""),"")))))</f>
        <v>1</v>
      </c>
      <c r="L173" s="3">
        <f>COUNTA(MCQ!$A:$A)-1</f>
        <v>122</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
      </c>
      <c r="B174" s="3">
        <f>IF(ROW()-1&lt;=0,"",IF(ROW()-1&lt;=$L$2,IFERROR(INDEX(MCQ!$A:$K,ROW()-1+1,2),""),IF(ROW()-1&lt;=$L$2+$M$2,IFERROR(INDEX(CLOZE_AB!$A:$K,ROW()-1-$L$2+1,2),""),IF(ROW()-1&lt;=$L$2+$M$2+$N$2,IFERROR(INDEX(CLOZE_LIST!$A:$K,ROW()-1-$L$2-$M$2+1,2),""),IF(ROW()-1&lt;=$L$2+$M$2+$N$2+$O$2,IFERROR(INDEX(PROFORMA!$A:$K,ROW()-1-$L$2-$M$2-$N$2+1,2),""),"")))))</f>
        <v>0</v>
      </c>
      <c r="C174" s="3">
        <f>IF(ROW()-1&lt;=0,"",IF(ROW()-1&lt;=$L$2,IFERROR(INDEX(MCQ!$A:$K,ROW()-1+1,3),""),IF(ROW()-1&lt;=$L$2+$M$2,IFERROR(INDEX(CLOZE_AB!$A:$K,ROW()-1-$L$2+1,3),""),IF(ROW()-1&lt;=$L$2+$M$2+$N$2,IFERROR(INDEX(CLOZE_LIST!$A:$K,ROW()-1-$L$2-$M$2+1,3),""),IF(ROW()-1&lt;=$L$2+$M$2+$N$2+$O$2,IFERROR(INDEX(PROFORMA!$A:$K,ROW()-1-$L$2-$M$2-$N$2+1,3),""),"")))))</f>
        <v>0</v>
      </c>
      <c r="D174" s="3">
        <f>IF(ROW()-1&lt;=0,"",IF(ROW()-1&lt;=$L$2,IFERROR(INDEX(MCQ!$A:$K,ROW()-1+1,4),""),IF(ROW()-1&lt;=$L$2+$M$2,IFERROR(INDEX(CLOZE_AB!$A:$K,ROW()-1-$L$2+1,4),""),IF(ROW()-1&lt;=$L$2+$M$2+$N$2,IFERROR(INDEX(CLOZE_LIST!$A:$K,ROW()-1-$L$2-$M$2+1,4),""),IF(ROW()-1&lt;=$L$2+$M$2+$N$2+$O$2,IFERROR(INDEX(PROFORMA!$A:$K,ROW()-1-$L$2-$M$2-$N$2+1,4),""),"")))))</f>
        <v>0</v>
      </c>
      <c r="E174" s="3">
        <f>IF(ROW()-1&lt;=0,"",IF(ROW()-1&lt;=$L$2,IFERROR(INDEX(MCQ!$A:$K,ROW()-1+1,5),""),IF(ROW()-1&lt;=$L$2+$M$2,IFERROR(INDEX(CLOZE_AB!$A:$K,ROW()-1-$L$2+1,5),""),IF(ROW()-1&lt;=$L$2+$M$2+$N$2,IFERROR(INDEX(CLOZE_LIST!$A:$K,ROW()-1-$L$2-$M$2+1,5),""),IF(ROW()-1&lt;=$L$2+$M$2+$N$2+$O$2,IFERROR(INDEX(PROFORMA!$A:$K,ROW()-1-$L$2-$M$2-$N$2+1,5),""),"")))))</f>
        <v>0</v>
      </c>
      <c r="F174" s="3">
        <f>IF(ROW()-1&lt;=0,"",IF(ROW()-1&lt;=$L$2,IFERROR(INDEX(MCQ!$A:$K,ROW()-1+1,6),""),IF(ROW()-1&lt;=$L$2+$M$2,IFERROR(INDEX(CLOZE_AB!$A:$K,ROW()-1-$L$2+1,6),""),IF(ROW()-1&lt;=$L$2+$M$2+$N$2,IFERROR(INDEX(CLOZE_LIST!$A:$K,ROW()-1-$L$2-$M$2+1,6),""),IF(ROW()-1&lt;=$L$2+$M$2+$N$2+$O$2,IFERROR(INDEX(PROFORMA!$A:$K,ROW()-1-$L$2-$M$2-$N$2+1,6),""),"")))))</f>
        <v>0</v>
      </c>
      <c r="G174" s="3">
        <f>IF(ROW()-1&lt;=0,"",IF(ROW()-1&lt;=$L$2,IFERROR(INDEX(MCQ!$A:$K,ROW()-1+1,7),""),IF(ROW()-1&lt;=$L$2+$M$2,IFERROR(INDEX(CLOZE_AB!$A:$K,ROW()-1-$L$2+1,7),""),IF(ROW()-1&lt;=$L$2+$M$2+$N$2,IFERROR(INDEX(CLOZE_LIST!$A:$K,ROW()-1-$L$2-$M$2+1,7),""),IF(ROW()-1&lt;=$L$2+$M$2+$N$2+$O$2,IFERROR(INDEX(PROFORMA!$A:$K,ROW()-1-$L$2-$M$2-$N$2+1,7),""),"")))))</f>
        <v>0</v>
      </c>
      <c r="H174" s="3">
        <f>IF(ROW()-1&lt;=0,"",IF(ROW()-1&lt;=$L$2,IFERROR(INDEX(MCQ!$A:$K,ROW()-1+1,8),""),IF(ROW()-1&lt;=$L$2+$M$2,IFERROR(INDEX(CLOZE_AB!$A:$K,ROW()-1-$L$2+1,8),""),IF(ROW()-1&lt;=$L$2+$M$2+$N$2,IFERROR(INDEX(CLOZE_LIST!$A:$K,ROW()-1-$L$2-$M$2+1,8),""),IF(ROW()-1&lt;=$L$2+$M$2+$N$2+$O$2,IFERROR(INDEX(PROFORMA!$A:$K,ROW()-1-$L$2-$M$2-$N$2+1,8),""),"")))))</f>
        <v>0</v>
      </c>
      <c r="I174" s="3">
        <f>IF(ROW()-1&lt;=0,"",IF(ROW()-1&lt;=$L$2,IFERROR(INDEX(MCQ!$A:$K,ROW()-1+1,9),""),IF(ROW()-1&lt;=$L$2+$M$2,IFERROR(INDEX(CLOZE_AB!$A:$K,ROW()-1-$L$2+1,9),""),IF(ROW()-1&lt;=$L$2+$M$2+$N$2,IFERROR(INDEX(CLOZE_LIST!$A:$K,ROW()-1-$L$2-$M$2+1,9),""),IF(ROW()-1&lt;=$L$2+$M$2+$N$2+$O$2,IFERROR(INDEX(PROFORMA!$A:$K,ROW()-1-$L$2-$M$2-$N$2+1,9),""),"")))))</f>
        <v>0</v>
      </c>
      <c r="J174" s="3">
        <f>IF(ROW()-1&lt;=0,"",IF(ROW()-1&lt;=$L$2,IFERROR(INDEX(MCQ!$A:$K,ROW()-1+1,10),""),IF(ROW()-1&lt;=$L$2+$M$2,IFERROR(INDEX(CLOZE_AB!$A:$K,ROW()-1-$L$2+1,10),""),IF(ROW()-1&lt;=$L$2+$M$2+$N$2,IFERROR(INDEX(CLOZE_LIST!$A:$K,ROW()-1-$L$2-$M$2+1,10),""),IF(ROW()-1&lt;=$L$2+$M$2+$N$2+$O$2,IFERROR(INDEX(PROFORMA!$A:$K,ROW()-1-$L$2-$M$2-$N$2+1,10),""),"")))))</f>
        <v>0</v>
      </c>
      <c r="K174" s="3">
        <f>IF(ROW()-1&lt;=0,"",IF(ROW()-1&lt;=$L$2,IFERROR(INDEX(MCQ!$A:$K,ROW()-1+1,11),""),IF(ROW()-1&lt;=$L$2+$M$2,IFERROR(INDEX(CLOZE_AB!$A:$K,ROW()-1-$L$2+1,11),""),IF(ROW()-1&lt;=$L$2+$M$2+$N$2,IFERROR(INDEX(CLOZE_LIST!$A:$K,ROW()-1-$L$2-$M$2+1,11),""),IF(ROW()-1&lt;=$L$2+$M$2+$N$2+$O$2,IFERROR(INDEX(PROFORMA!$A:$K,ROW()-1-$L$2-$M$2-$N$2+1,11),""),"")))))</f>
        <v>0</v>
      </c>
      <c r="L174" s="3">
        <f>COUNTA(MCQ!$A:$A)-1</f>
        <v>122</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
      </c>
      <c r="B175" s="3">
        <f>IF(ROW()-1&lt;=0,"",IF(ROW()-1&lt;=$L$2,IFERROR(INDEX(MCQ!$A:$K,ROW()-1+1,2),""),IF(ROW()-1&lt;=$L$2+$M$2,IFERROR(INDEX(CLOZE_AB!$A:$K,ROW()-1-$L$2+1,2),""),IF(ROW()-1&lt;=$L$2+$M$2+$N$2,IFERROR(INDEX(CLOZE_LIST!$A:$K,ROW()-1-$L$2-$M$2+1,2),""),IF(ROW()-1&lt;=$L$2+$M$2+$N$2+$O$2,IFERROR(INDEX(PROFORMA!$A:$K,ROW()-1-$L$2-$M$2-$N$2+1,2),""),"")))))</f>
        <v>0</v>
      </c>
      <c r="C175" s="3">
        <f>IF(ROW()-1&lt;=0,"",IF(ROW()-1&lt;=$L$2,IFERROR(INDEX(MCQ!$A:$K,ROW()-1+1,3),""),IF(ROW()-1&lt;=$L$2+$M$2,IFERROR(INDEX(CLOZE_AB!$A:$K,ROW()-1-$L$2+1,3),""),IF(ROW()-1&lt;=$L$2+$M$2+$N$2,IFERROR(INDEX(CLOZE_LIST!$A:$K,ROW()-1-$L$2-$M$2+1,3),""),IF(ROW()-1&lt;=$L$2+$M$2+$N$2+$O$2,IFERROR(INDEX(PROFORMA!$A:$K,ROW()-1-$L$2-$M$2-$N$2+1,3),""),"")))))</f>
        <v>0</v>
      </c>
      <c r="D175" s="3">
        <f>IF(ROW()-1&lt;=0,"",IF(ROW()-1&lt;=$L$2,IFERROR(INDEX(MCQ!$A:$K,ROW()-1+1,4),""),IF(ROW()-1&lt;=$L$2+$M$2,IFERROR(INDEX(CLOZE_AB!$A:$K,ROW()-1-$L$2+1,4),""),IF(ROW()-1&lt;=$L$2+$M$2+$N$2,IFERROR(INDEX(CLOZE_LIST!$A:$K,ROW()-1-$L$2-$M$2+1,4),""),IF(ROW()-1&lt;=$L$2+$M$2+$N$2+$O$2,IFERROR(INDEX(PROFORMA!$A:$K,ROW()-1-$L$2-$M$2-$N$2+1,4),""),"")))))</f>
        <v>0</v>
      </c>
      <c r="E175" s="3">
        <f>IF(ROW()-1&lt;=0,"",IF(ROW()-1&lt;=$L$2,IFERROR(INDEX(MCQ!$A:$K,ROW()-1+1,5),""),IF(ROW()-1&lt;=$L$2+$M$2,IFERROR(INDEX(CLOZE_AB!$A:$K,ROW()-1-$L$2+1,5),""),IF(ROW()-1&lt;=$L$2+$M$2+$N$2,IFERROR(INDEX(CLOZE_LIST!$A:$K,ROW()-1-$L$2-$M$2+1,5),""),IF(ROW()-1&lt;=$L$2+$M$2+$N$2+$O$2,IFERROR(INDEX(PROFORMA!$A:$K,ROW()-1-$L$2-$M$2-$N$2+1,5),""),"")))))</f>
        <v>0</v>
      </c>
      <c r="F175" s="3">
        <f>IF(ROW()-1&lt;=0,"",IF(ROW()-1&lt;=$L$2,IFERROR(INDEX(MCQ!$A:$K,ROW()-1+1,6),""),IF(ROW()-1&lt;=$L$2+$M$2,IFERROR(INDEX(CLOZE_AB!$A:$K,ROW()-1-$L$2+1,6),""),IF(ROW()-1&lt;=$L$2+$M$2+$N$2,IFERROR(INDEX(CLOZE_LIST!$A:$K,ROW()-1-$L$2-$M$2+1,6),""),IF(ROW()-1&lt;=$L$2+$M$2+$N$2+$O$2,IFERROR(INDEX(PROFORMA!$A:$K,ROW()-1-$L$2-$M$2-$N$2+1,6),""),"")))))</f>
        <v>0</v>
      </c>
      <c r="G175" s="3">
        <f>IF(ROW()-1&lt;=0,"",IF(ROW()-1&lt;=$L$2,IFERROR(INDEX(MCQ!$A:$K,ROW()-1+1,7),""),IF(ROW()-1&lt;=$L$2+$M$2,IFERROR(INDEX(CLOZE_AB!$A:$K,ROW()-1-$L$2+1,7),""),IF(ROW()-1&lt;=$L$2+$M$2+$N$2,IFERROR(INDEX(CLOZE_LIST!$A:$K,ROW()-1-$L$2-$M$2+1,7),""),IF(ROW()-1&lt;=$L$2+$M$2+$N$2+$O$2,IFERROR(INDEX(PROFORMA!$A:$K,ROW()-1-$L$2-$M$2-$N$2+1,7),""),"")))))</f>
        <v>0</v>
      </c>
      <c r="H175" s="3">
        <f>IF(ROW()-1&lt;=0,"",IF(ROW()-1&lt;=$L$2,IFERROR(INDEX(MCQ!$A:$K,ROW()-1+1,8),""),IF(ROW()-1&lt;=$L$2+$M$2,IFERROR(INDEX(CLOZE_AB!$A:$K,ROW()-1-$L$2+1,8),""),IF(ROW()-1&lt;=$L$2+$M$2+$N$2,IFERROR(INDEX(CLOZE_LIST!$A:$K,ROW()-1-$L$2-$M$2+1,8),""),IF(ROW()-1&lt;=$L$2+$M$2+$N$2+$O$2,IFERROR(INDEX(PROFORMA!$A:$K,ROW()-1-$L$2-$M$2-$N$2+1,8),""),"")))))</f>
        <v>0</v>
      </c>
      <c r="I175" s="3">
        <f>IF(ROW()-1&lt;=0,"",IF(ROW()-1&lt;=$L$2,IFERROR(INDEX(MCQ!$A:$K,ROW()-1+1,9),""),IF(ROW()-1&lt;=$L$2+$M$2,IFERROR(INDEX(CLOZE_AB!$A:$K,ROW()-1-$L$2+1,9),""),IF(ROW()-1&lt;=$L$2+$M$2+$N$2,IFERROR(INDEX(CLOZE_LIST!$A:$K,ROW()-1-$L$2-$M$2+1,9),""),IF(ROW()-1&lt;=$L$2+$M$2+$N$2+$O$2,IFERROR(INDEX(PROFORMA!$A:$K,ROW()-1-$L$2-$M$2-$N$2+1,9),""),"")))))</f>
        <v>0</v>
      </c>
      <c r="J175" s="3">
        <f>IF(ROW()-1&lt;=0,"",IF(ROW()-1&lt;=$L$2,IFERROR(INDEX(MCQ!$A:$K,ROW()-1+1,10),""),IF(ROW()-1&lt;=$L$2+$M$2,IFERROR(INDEX(CLOZE_AB!$A:$K,ROW()-1-$L$2+1,10),""),IF(ROW()-1&lt;=$L$2+$M$2+$N$2,IFERROR(INDEX(CLOZE_LIST!$A:$K,ROW()-1-$L$2-$M$2+1,10),""),IF(ROW()-1&lt;=$L$2+$M$2+$N$2+$O$2,IFERROR(INDEX(PROFORMA!$A:$K,ROW()-1-$L$2-$M$2-$N$2+1,10),""),"")))))</f>
        <v>0</v>
      </c>
      <c r="K175" s="3">
        <f>IF(ROW()-1&lt;=0,"",IF(ROW()-1&lt;=$L$2,IFERROR(INDEX(MCQ!$A:$K,ROW()-1+1,11),""),IF(ROW()-1&lt;=$L$2+$M$2,IFERROR(INDEX(CLOZE_AB!$A:$K,ROW()-1-$L$2+1,11),""),IF(ROW()-1&lt;=$L$2+$M$2+$N$2,IFERROR(INDEX(CLOZE_LIST!$A:$K,ROW()-1-$L$2-$M$2+1,11),""),IF(ROW()-1&lt;=$L$2+$M$2+$N$2+$O$2,IFERROR(INDEX(PROFORMA!$A:$K,ROW()-1-$L$2-$M$2-$N$2+1,11),""),"")))))</f>
        <v>0</v>
      </c>
      <c r="L175" s="3">
        <f>COUNTA(MCQ!$A:$A)-1</f>
        <v>122</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
      </c>
      <c r="B176" s="3">
        <f>IF(ROW()-1&lt;=0,"",IF(ROW()-1&lt;=$L$2,IFERROR(INDEX(MCQ!$A:$K,ROW()-1+1,2),""),IF(ROW()-1&lt;=$L$2+$M$2,IFERROR(INDEX(CLOZE_AB!$A:$K,ROW()-1-$L$2+1,2),""),IF(ROW()-1&lt;=$L$2+$M$2+$N$2,IFERROR(INDEX(CLOZE_LIST!$A:$K,ROW()-1-$L$2-$M$2+1,2),""),IF(ROW()-1&lt;=$L$2+$M$2+$N$2+$O$2,IFERROR(INDEX(PROFORMA!$A:$K,ROW()-1-$L$2-$M$2-$N$2+1,2),""),"")))))</f>
        <v>0</v>
      </c>
      <c r="C176" s="3">
        <f>IF(ROW()-1&lt;=0,"",IF(ROW()-1&lt;=$L$2,IFERROR(INDEX(MCQ!$A:$K,ROW()-1+1,3),""),IF(ROW()-1&lt;=$L$2+$M$2,IFERROR(INDEX(CLOZE_AB!$A:$K,ROW()-1-$L$2+1,3),""),IF(ROW()-1&lt;=$L$2+$M$2+$N$2,IFERROR(INDEX(CLOZE_LIST!$A:$K,ROW()-1-$L$2-$M$2+1,3),""),IF(ROW()-1&lt;=$L$2+$M$2+$N$2+$O$2,IFERROR(INDEX(PROFORMA!$A:$K,ROW()-1-$L$2-$M$2-$N$2+1,3),""),"")))))</f>
        <v>0</v>
      </c>
      <c r="D176" s="3">
        <f>IF(ROW()-1&lt;=0,"",IF(ROW()-1&lt;=$L$2,IFERROR(INDEX(MCQ!$A:$K,ROW()-1+1,4),""),IF(ROW()-1&lt;=$L$2+$M$2,IFERROR(INDEX(CLOZE_AB!$A:$K,ROW()-1-$L$2+1,4),""),IF(ROW()-1&lt;=$L$2+$M$2+$N$2,IFERROR(INDEX(CLOZE_LIST!$A:$K,ROW()-1-$L$2-$M$2+1,4),""),IF(ROW()-1&lt;=$L$2+$M$2+$N$2+$O$2,IFERROR(INDEX(PROFORMA!$A:$K,ROW()-1-$L$2-$M$2-$N$2+1,4),""),"")))))</f>
        <v>0</v>
      </c>
      <c r="E176" s="3">
        <f>IF(ROW()-1&lt;=0,"",IF(ROW()-1&lt;=$L$2,IFERROR(INDEX(MCQ!$A:$K,ROW()-1+1,5),""),IF(ROW()-1&lt;=$L$2+$M$2,IFERROR(INDEX(CLOZE_AB!$A:$K,ROW()-1-$L$2+1,5),""),IF(ROW()-1&lt;=$L$2+$M$2+$N$2,IFERROR(INDEX(CLOZE_LIST!$A:$K,ROW()-1-$L$2-$M$2+1,5),""),IF(ROW()-1&lt;=$L$2+$M$2+$N$2+$O$2,IFERROR(INDEX(PROFORMA!$A:$K,ROW()-1-$L$2-$M$2-$N$2+1,5),""),"")))))</f>
        <v>0</v>
      </c>
      <c r="F176" s="3">
        <f>IF(ROW()-1&lt;=0,"",IF(ROW()-1&lt;=$L$2,IFERROR(INDEX(MCQ!$A:$K,ROW()-1+1,6),""),IF(ROW()-1&lt;=$L$2+$M$2,IFERROR(INDEX(CLOZE_AB!$A:$K,ROW()-1-$L$2+1,6),""),IF(ROW()-1&lt;=$L$2+$M$2+$N$2,IFERROR(INDEX(CLOZE_LIST!$A:$K,ROW()-1-$L$2-$M$2+1,6),""),IF(ROW()-1&lt;=$L$2+$M$2+$N$2+$O$2,IFERROR(INDEX(PROFORMA!$A:$K,ROW()-1-$L$2-$M$2-$N$2+1,6),""),"")))))</f>
        <v>0</v>
      </c>
      <c r="G176" s="3">
        <f>IF(ROW()-1&lt;=0,"",IF(ROW()-1&lt;=$L$2,IFERROR(INDEX(MCQ!$A:$K,ROW()-1+1,7),""),IF(ROW()-1&lt;=$L$2+$M$2,IFERROR(INDEX(CLOZE_AB!$A:$K,ROW()-1-$L$2+1,7),""),IF(ROW()-1&lt;=$L$2+$M$2+$N$2,IFERROR(INDEX(CLOZE_LIST!$A:$K,ROW()-1-$L$2-$M$2+1,7),""),IF(ROW()-1&lt;=$L$2+$M$2+$N$2+$O$2,IFERROR(INDEX(PROFORMA!$A:$K,ROW()-1-$L$2-$M$2-$N$2+1,7),""),"")))))</f>
        <v>0</v>
      </c>
      <c r="H176" s="3">
        <f>IF(ROW()-1&lt;=0,"",IF(ROW()-1&lt;=$L$2,IFERROR(INDEX(MCQ!$A:$K,ROW()-1+1,8),""),IF(ROW()-1&lt;=$L$2+$M$2,IFERROR(INDEX(CLOZE_AB!$A:$K,ROW()-1-$L$2+1,8),""),IF(ROW()-1&lt;=$L$2+$M$2+$N$2,IFERROR(INDEX(CLOZE_LIST!$A:$K,ROW()-1-$L$2-$M$2+1,8),""),IF(ROW()-1&lt;=$L$2+$M$2+$N$2+$O$2,IFERROR(INDEX(PROFORMA!$A:$K,ROW()-1-$L$2-$M$2-$N$2+1,8),""),"")))))</f>
        <v>0</v>
      </c>
      <c r="I176" s="3">
        <f>IF(ROW()-1&lt;=0,"",IF(ROW()-1&lt;=$L$2,IFERROR(INDEX(MCQ!$A:$K,ROW()-1+1,9),""),IF(ROW()-1&lt;=$L$2+$M$2,IFERROR(INDEX(CLOZE_AB!$A:$K,ROW()-1-$L$2+1,9),""),IF(ROW()-1&lt;=$L$2+$M$2+$N$2,IFERROR(INDEX(CLOZE_LIST!$A:$K,ROW()-1-$L$2-$M$2+1,9),""),IF(ROW()-1&lt;=$L$2+$M$2+$N$2+$O$2,IFERROR(INDEX(PROFORMA!$A:$K,ROW()-1-$L$2-$M$2-$N$2+1,9),""),"")))))</f>
        <v>0</v>
      </c>
      <c r="J176" s="3">
        <f>IF(ROW()-1&lt;=0,"",IF(ROW()-1&lt;=$L$2,IFERROR(INDEX(MCQ!$A:$K,ROW()-1+1,10),""),IF(ROW()-1&lt;=$L$2+$M$2,IFERROR(INDEX(CLOZE_AB!$A:$K,ROW()-1-$L$2+1,10),""),IF(ROW()-1&lt;=$L$2+$M$2+$N$2,IFERROR(INDEX(CLOZE_LIST!$A:$K,ROW()-1-$L$2-$M$2+1,10),""),IF(ROW()-1&lt;=$L$2+$M$2+$N$2+$O$2,IFERROR(INDEX(PROFORMA!$A:$K,ROW()-1-$L$2-$M$2-$N$2+1,10),""),"")))))</f>
        <v>0</v>
      </c>
      <c r="K176" s="3">
        <f>IF(ROW()-1&lt;=0,"",IF(ROW()-1&lt;=$L$2,IFERROR(INDEX(MCQ!$A:$K,ROW()-1+1,11),""),IF(ROW()-1&lt;=$L$2+$M$2,IFERROR(INDEX(CLOZE_AB!$A:$K,ROW()-1-$L$2+1,11),""),IF(ROW()-1&lt;=$L$2+$M$2+$N$2,IFERROR(INDEX(CLOZE_LIST!$A:$K,ROW()-1-$L$2-$M$2+1,11),""),IF(ROW()-1&lt;=$L$2+$M$2+$N$2+$O$2,IFERROR(INDEX(PROFORMA!$A:$K,ROW()-1-$L$2-$M$2-$N$2+1,11),""),"")))))</f>
        <v>0</v>
      </c>
      <c r="L176" s="3">
        <f>COUNTA(MCQ!$A:$A)-1</f>
        <v>122</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
      </c>
      <c r="B177" s="3">
        <f>IF(ROW()-1&lt;=0,"",IF(ROW()-1&lt;=$L$2,IFERROR(INDEX(MCQ!$A:$K,ROW()-1+1,2),""),IF(ROW()-1&lt;=$L$2+$M$2,IFERROR(INDEX(CLOZE_AB!$A:$K,ROW()-1-$L$2+1,2),""),IF(ROW()-1&lt;=$L$2+$M$2+$N$2,IFERROR(INDEX(CLOZE_LIST!$A:$K,ROW()-1-$L$2-$M$2+1,2),""),IF(ROW()-1&lt;=$L$2+$M$2+$N$2+$O$2,IFERROR(INDEX(PROFORMA!$A:$K,ROW()-1-$L$2-$M$2-$N$2+1,2),""),"")))))</f>
        <v>0</v>
      </c>
      <c r="C177" s="3">
        <f>IF(ROW()-1&lt;=0,"",IF(ROW()-1&lt;=$L$2,IFERROR(INDEX(MCQ!$A:$K,ROW()-1+1,3),""),IF(ROW()-1&lt;=$L$2+$M$2,IFERROR(INDEX(CLOZE_AB!$A:$K,ROW()-1-$L$2+1,3),""),IF(ROW()-1&lt;=$L$2+$M$2+$N$2,IFERROR(INDEX(CLOZE_LIST!$A:$K,ROW()-1-$L$2-$M$2+1,3),""),IF(ROW()-1&lt;=$L$2+$M$2+$N$2+$O$2,IFERROR(INDEX(PROFORMA!$A:$K,ROW()-1-$L$2-$M$2-$N$2+1,3),""),"")))))</f>
        <v>0</v>
      </c>
      <c r="D177" s="3">
        <f>IF(ROW()-1&lt;=0,"",IF(ROW()-1&lt;=$L$2,IFERROR(INDEX(MCQ!$A:$K,ROW()-1+1,4),""),IF(ROW()-1&lt;=$L$2+$M$2,IFERROR(INDEX(CLOZE_AB!$A:$K,ROW()-1-$L$2+1,4),""),IF(ROW()-1&lt;=$L$2+$M$2+$N$2,IFERROR(INDEX(CLOZE_LIST!$A:$K,ROW()-1-$L$2-$M$2+1,4),""),IF(ROW()-1&lt;=$L$2+$M$2+$N$2+$O$2,IFERROR(INDEX(PROFORMA!$A:$K,ROW()-1-$L$2-$M$2-$N$2+1,4),""),"")))))</f>
        <v>0</v>
      </c>
      <c r="E177" s="3">
        <f>IF(ROW()-1&lt;=0,"",IF(ROW()-1&lt;=$L$2,IFERROR(INDEX(MCQ!$A:$K,ROW()-1+1,5),""),IF(ROW()-1&lt;=$L$2+$M$2,IFERROR(INDEX(CLOZE_AB!$A:$K,ROW()-1-$L$2+1,5),""),IF(ROW()-1&lt;=$L$2+$M$2+$N$2,IFERROR(INDEX(CLOZE_LIST!$A:$K,ROW()-1-$L$2-$M$2+1,5),""),IF(ROW()-1&lt;=$L$2+$M$2+$N$2+$O$2,IFERROR(INDEX(PROFORMA!$A:$K,ROW()-1-$L$2-$M$2-$N$2+1,5),""),"")))))</f>
        <v>0</v>
      </c>
      <c r="F177" s="3">
        <f>IF(ROW()-1&lt;=0,"",IF(ROW()-1&lt;=$L$2,IFERROR(INDEX(MCQ!$A:$K,ROW()-1+1,6),""),IF(ROW()-1&lt;=$L$2+$M$2,IFERROR(INDEX(CLOZE_AB!$A:$K,ROW()-1-$L$2+1,6),""),IF(ROW()-1&lt;=$L$2+$M$2+$N$2,IFERROR(INDEX(CLOZE_LIST!$A:$K,ROW()-1-$L$2-$M$2+1,6),""),IF(ROW()-1&lt;=$L$2+$M$2+$N$2+$O$2,IFERROR(INDEX(PROFORMA!$A:$K,ROW()-1-$L$2-$M$2-$N$2+1,6),""),"")))))</f>
        <v>0</v>
      </c>
      <c r="G177" s="3">
        <f>IF(ROW()-1&lt;=0,"",IF(ROW()-1&lt;=$L$2,IFERROR(INDEX(MCQ!$A:$K,ROW()-1+1,7),""),IF(ROW()-1&lt;=$L$2+$M$2,IFERROR(INDEX(CLOZE_AB!$A:$K,ROW()-1-$L$2+1,7),""),IF(ROW()-1&lt;=$L$2+$M$2+$N$2,IFERROR(INDEX(CLOZE_LIST!$A:$K,ROW()-1-$L$2-$M$2+1,7),""),IF(ROW()-1&lt;=$L$2+$M$2+$N$2+$O$2,IFERROR(INDEX(PROFORMA!$A:$K,ROW()-1-$L$2-$M$2-$N$2+1,7),""),"")))))</f>
        <v>0</v>
      </c>
      <c r="H177" s="3">
        <f>IF(ROW()-1&lt;=0,"",IF(ROW()-1&lt;=$L$2,IFERROR(INDEX(MCQ!$A:$K,ROW()-1+1,8),""),IF(ROW()-1&lt;=$L$2+$M$2,IFERROR(INDEX(CLOZE_AB!$A:$K,ROW()-1-$L$2+1,8),""),IF(ROW()-1&lt;=$L$2+$M$2+$N$2,IFERROR(INDEX(CLOZE_LIST!$A:$K,ROW()-1-$L$2-$M$2+1,8),""),IF(ROW()-1&lt;=$L$2+$M$2+$N$2+$O$2,IFERROR(INDEX(PROFORMA!$A:$K,ROW()-1-$L$2-$M$2-$N$2+1,8),""),"")))))</f>
        <v>0</v>
      </c>
      <c r="I177" s="3">
        <f>IF(ROW()-1&lt;=0,"",IF(ROW()-1&lt;=$L$2,IFERROR(INDEX(MCQ!$A:$K,ROW()-1+1,9),""),IF(ROW()-1&lt;=$L$2+$M$2,IFERROR(INDEX(CLOZE_AB!$A:$K,ROW()-1-$L$2+1,9),""),IF(ROW()-1&lt;=$L$2+$M$2+$N$2,IFERROR(INDEX(CLOZE_LIST!$A:$K,ROW()-1-$L$2-$M$2+1,9),""),IF(ROW()-1&lt;=$L$2+$M$2+$N$2+$O$2,IFERROR(INDEX(PROFORMA!$A:$K,ROW()-1-$L$2-$M$2-$N$2+1,9),""),"")))))</f>
        <v>0</v>
      </c>
      <c r="J177" s="3">
        <f>IF(ROW()-1&lt;=0,"",IF(ROW()-1&lt;=$L$2,IFERROR(INDEX(MCQ!$A:$K,ROW()-1+1,10),""),IF(ROW()-1&lt;=$L$2+$M$2,IFERROR(INDEX(CLOZE_AB!$A:$K,ROW()-1-$L$2+1,10),""),IF(ROW()-1&lt;=$L$2+$M$2+$N$2,IFERROR(INDEX(CLOZE_LIST!$A:$K,ROW()-1-$L$2-$M$2+1,10),""),IF(ROW()-1&lt;=$L$2+$M$2+$N$2+$O$2,IFERROR(INDEX(PROFORMA!$A:$K,ROW()-1-$L$2-$M$2-$N$2+1,10),""),"")))))</f>
        <v>0</v>
      </c>
      <c r="K177" s="3">
        <f>IF(ROW()-1&lt;=0,"",IF(ROW()-1&lt;=$L$2,IFERROR(INDEX(MCQ!$A:$K,ROW()-1+1,11),""),IF(ROW()-1&lt;=$L$2+$M$2,IFERROR(INDEX(CLOZE_AB!$A:$K,ROW()-1-$L$2+1,11),""),IF(ROW()-1&lt;=$L$2+$M$2+$N$2,IFERROR(INDEX(CLOZE_LIST!$A:$K,ROW()-1-$L$2-$M$2+1,11),""),IF(ROW()-1&lt;=$L$2+$M$2+$N$2+$O$2,IFERROR(INDEX(PROFORMA!$A:$K,ROW()-1-$L$2-$M$2-$N$2+1,11),""),"")))))</f>
        <v>0</v>
      </c>
      <c r="L177" s="3">
        <f>COUNTA(MCQ!$A:$A)-1</f>
        <v>122</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
      </c>
      <c r="B178" s="3">
        <f>IF(ROW()-1&lt;=0,"",IF(ROW()-1&lt;=$L$2,IFERROR(INDEX(MCQ!$A:$K,ROW()-1+1,2),""),IF(ROW()-1&lt;=$L$2+$M$2,IFERROR(INDEX(CLOZE_AB!$A:$K,ROW()-1-$L$2+1,2),""),IF(ROW()-1&lt;=$L$2+$M$2+$N$2,IFERROR(INDEX(CLOZE_LIST!$A:$K,ROW()-1-$L$2-$M$2+1,2),""),IF(ROW()-1&lt;=$L$2+$M$2+$N$2+$O$2,IFERROR(INDEX(PROFORMA!$A:$K,ROW()-1-$L$2-$M$2-$N$2+1,2),""),"")))))</f>
        <v>0</v>
      </c>
      <c r="C178" s="3">
        <f>IF(ROW()-1&lt;=0,"",IF(ROW()-1&lt;=$L$2,IFERROR(INDEX(MCQ!$A:$K,ROW()-1+1,3),""),IF(ROW()-1&lt;=$L$2+$M$2,IFERROR(INDEX(CLOZE_AB!$A:$K,ROW()-1-$L$2+1,3),""),IF(ROW()-1&lt;=$L$2+$M$2+$N$2,IFERROR(INDEX(CLOZE_LIST!$A:$K,ROW()-1-$L$2-$M$2+1,3),""),IF(ROW()-1&lt;=$L$2+$M$2+$N$2+$O$2,IFERROR(INDEX(PROFORMA!$A:$K,ROW()-1-$L$2-$M$2-$N$2+1,3),""),"")))))</f>
        <v>0</v>
      </c>
      <c r="D178" s="3">
        <f>IF(ROW()-1&lt;=0,"",IF(ROW()-1&lt;=$L$2,IFERROR(INDEX(MCQ!$A:$K,ROW()-1+1,4),""),IF(ROW()-1&lt;=$L$2+$M$2,IFERROR(INDEX(CLOZE_AB!$A:$K,ROW()-1-$L$2+1,4),""),IF(ROW()-1&lt;=$L$2+$M$2+$N$2,IFERROR(INDEX(CLOZE_LIST!$A:$K,ROW()-1-$L$2-$M$2+1,4),""),IF(ROW()-1&lt;=$L$2+$M$2+$N$2+$O$2,IFERROR(INDEX(PROFORMA!$A:$K,ROW()-1-$L$2-$M$2-$N$2+1,4),""),"")))))</f>
        <v>0</v>
      </c>
      <c r="E178" s="3">
        <f>IF(ROW()-1&lt;=0,"",IF(ROW()-1&lt;=$L$2,IFERROR(INDEX(MCQ!$A:$K,ROW()-1+1,5),""),IF(ROW()-1&lt;=$L$2+$M$2,IFERROR(INDEX(CLOZE_AB!$A:$K,ROW()-1-$L$2+1,5),""),IF(ROW()-1&lt;=$L$2+$M$2+$N$2,IFERROR(INDEX(CLOZE_LIST!$A:$K,ROW()-1-$L$2-$M$2+1,5),""),IF(ROW()-1&lt;=$L$2+$M$2+$N$2+$O$2,IFERROR(INDEX(PROFORMA!$A:$K,ROW()-1-$L$2-$M$2-$N$2+1,5),""),"")))))</f>
        <v>0</v>
      </c>
      <c r="F178" s="3">
        <f>IF(ROW()-1&lt;=0,"",IF(ROW()-1&lt;=$L$2,IFERROR(INDEX(MCQ!$A:$K,ROW()-1+1,6),""),IF(ROW()-1&lt;=$L$2+$M$2,IFERROR(INDEX(CLOZE_AB!$A:$K,ROW()-1-$L$2+1,6),""),IF(ROW()-1&lt;=$L$2+$M$2+$N$2,IFERROR(INDEX(CLOZE_LIST!$A:$K,ROW()-1-$L$2-$M$2+1,6),""),IF(ROW()-1&lt;=$L$2+$M$2+$N$2+$O$2,IFERROR(INDEX(PROFORMA!$A:$K,ROW()-1-$L$2-$M$2-$N$2+1,6),""),"")))))</f>
        <v>0</v>
      </c>
      <c r="G178" s="3">
        <f>IF(ROW()-1&lt;=0,"",IF(ROW()-1&lt;=$L$2,IFERROR(INDEX(MCQ!$A:$K,ROW()-1+1,7),""),IF(ROW()-1&lt;=$L$2+$M$2,IFERROR(INDEX(CLOZE_AB!$A:$K,ROW()-1-$L$2+1,7),""),IF(ROW()-1&lt;=$L$2+$M$2+$N$2,IFERROR(INDEX(CLOZE_LIST!$A:$K,ROW()-1-$L$2-$M$2+1,7),""),IF(ROW()-1&lt;=$L$2+$M$2+$N$2+$O$2,IFERROR(INDEX(PROFORMA!$A:$K,ROW()-1-$L$2-$M$2-$N$2+1,7),""),"")))))</f>
        <v>0</v>
      </c>
      <c r="H178" s="3">
        <f>IF(ROW()-1&lt;=0,"",IF(ROW()-1&lt;=$L$2,IFERROR(INDEX(MCQ!$A:$K,ROW()-1+1,8),""),IF(ROW()-1&lt;=$L$2+$M$2,IFERROR(INDEX(CLOZE_AB!$A:$K,ROW()-1-$L$2+1,8),""),IF(ROW()-1&lt;=$L$2+$M$2+$N$2,IFERROR(INDEX(CLOZE_LIST!$A:$K,ROW()-1-$L$2-$M$2+1,8),""),IF(ROW()-1&lt;=$L$2+$M$2+$N$2+$O$2,IFERROR(INDEX(PROFORMA!$A:$K,ROW()-1-$L$2-$M$2-$N$2+1,8),""),"")))))</f>
        <v>0</v>
      </c>
      <c r="I178" s="3">
        <f>IF(ROW()-1&lt;=0,"",IF(ROW()-1&lt;=$L$2,IFERROR(INDEX(MCQ!$A:$K,ROW()-1+1,9),""),IF(ROW()-1&lt;=$L$2+$M$2,IFERROR(INDEX(CLOZE_AB!$A:$K,ROW()-1-$L$2+1,9),""),IF(ROW()-1&lt;=$L$2+$M$2+$N$2,IFERROR(INDEX(CLOZE_LIST!$A:$K,ROW()-1-$L$2-$M$2+1,9),""),IF(ROW()-1&lt;=$L$2+$M$2+$N$2+$O$2,IFERROR(INDEX(PROFORMA!$A:$K,ROW()-1-$L$2-$M$2-$N$2+1,9),""),"")))))</f>
        <v>0</v>
      </c>
      <c r="J178" s="3">
        <f>IF(ROW()-1&lt;=0,"",IF(ROW()-1&lt;=$L$2,IFERROR(INDEX(MCQ!$A:$K,ROW()-1+1,10),""),IF(ROW()-1&lt;=$L$2+$M$2,IFERROR(INDEX(CLOZE_AB!$A:$K,ROW()-1-$L$2+1,10),""),IF(ROW()-1&lt;=$L$2+$M$2+$N$2,IFERROR(INDEX(CLOZE_LIST!$A:$K,ROW()-1-$L$2-$M$2+1,10),""),IF(ROW()-1&lt;=$L$2+$M$2+$N$2+$O$2,IFERROR(INDEX(PROFORMA!$A:$K,ROW()-1-$L$2-$M$2-$N$2+1,10),""),"")))))</f>
        <v>0</v>
      </c>
      <c r="K178" s="3">
        <f>IF(ROW()-1&lt;=0,"",IF(ROW()-1&lt;=$L$2,IFERROR(INDEX(MCQ!$A:$K,ROW()-1+1,11),""),IF(ROW()-1&lt;=$L$2+$M$2,IFERROR(INDEX(CLOZE_AB!$A:$K,ROW()-1-$L$2+1,11),""),IF(ROW()-1&lt;=$L$2+$M$2+$N$2,IFERROR(INDEX(CLOZE_LIST!$A:$K,ROW()-1-$L$2-$M$2+1,11),""),IF(ROW()-1&lt;=$L$2+$M$2+$N$2+$O$2,IFERROR(INDEX(PROFORMA!$A:$K,ROW()-1-$L$2-$M$2-$N$2+1,11),""),"")))))</f>
        <v>0</v>
      </c>
      <c r="L178" s="3">
        <f>COUNTA(MCQ!$A:$A)-1</f>
        <v>122</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
      </c>
      <c r="B179" s="3">
        <f>IF(ROW()-1&lt;=0,"",IF(ROW()-1&lt;=$L$2,IFERROR(INDEX(MCQ!$A:$K,ROW()-1+1,2),""),IF(ROW()-1&lt;=$L$2+$M$2,IFERROR(INDEX(CLOZE_AB!$A:$K,ROW()-1-$L$2+1,2),""),IF(ROW()-1&lt;=$L$2+$M$2+$N$2,IFERROR(INDEX(CLOZE_LIST!$A:$K,ROW()-1-$L$2-$M$2+1,2),""),IF(ROW()-1&lt;=$L$2+$M$2+$N$2+$O$2,IFERROR(INDEX(PROFORMA!$A:$K,ROW()-1-$L$2-$M$2-$N$2+1,2),""),"")))))</f>
        <v>0</v>
      </c>
      <c r="C179" s="3">
        <f>IF(ROW()-1&lt;=0,"",IF(ROW()-1&lt;=$L$2,IFERROR(INDEX(MCQ!$A:$K,ROW()-1+1,3),""),IF(ROW()-1&lt;=$L$2+$M$2,IFERROR(INDEX(CLOZE_AB!$A:$K,ROW()-1-$L$2+1,3),""),IF(ROW()-1&lt;=$L$2+$M$2+$N$2,IFERROR(INDEX(CLOZE_LIST!$A:$K,ROW()-1-$L$2-$M$2+1,3),""),IF(ROW()-1&lt;=$L$2+$M$2+$N$2+$O$2,IFERROR(INDEX(PROFORMA!$A:$K,ROW()-1-$L$2-$M$2-$N$2+1,3),""),"")))))</f>
        <v>0</v>
      </c>
      <c r="D179" s="3">
        <f>IF(ROW()-1&lt;=0,"",IF(ROW()-1&lt;=$L$2,IFERROR(INDEX(MCQ!$A:$K,ROW()-1+1,4),""),IF(ROW()-1&lt;=$L$2+$M$2,IFERROR(INDEX(CLOZE_AB!$A:$K,ROW()-1-$L$2+1,4),""),IF(ROW()-1&lt;=$L$2+$M$2+$N$2,IFERROR(INDEX(CLOZE_LIST!$A:$K,ROW()-1-$L$2-$M$2+1,4),""),IF(ROW()-1&lt;=$L$2+$M$2+$N$2+$O$2,IFERROR(INDEX(PROFORMA!$A:$K,ROW()-1-$L$2-$M$2-$N$2+1,4),""),"")))))</f>
        <v>0</v>
      </c>
      <c r="E179" s="3">
        <f>IF(ROW()-1&lt;=0,"",IF(ROW()-1&lt;=$L$2,IFERROR(INDEX(MCQ!$A:$K,ROW()-1+1,5),""),IF(ROW()-1&lt;=$L$2+$M$2,IFERROR(INDEX(CLOZE_AB!$A:$K,ROW()-1-$L$2+1,5),""),IF(ROW()-1&lt;=$L$2+$M$2+$N$2,IFERROR(INDEX(CLOZE_LIST!$A:$K,ROW()-1-$L$2-$M$2+1,5),""),IF(ROW()-1&lt;=$L$2+$M$2+$N$2+$O$2,IFERROR(INDEX(PROFORMA!$A:$K,ROW()-1-$L$2-$M$2-$N$2+1,5),""),"")))))</f>
        <v>0</v>
      </c>
      <c r="F179" s="3">
        <f>IF(ROW()-1&lt;=0,"",IF(ROW()-1&lt;=$L$2,IFERROR(INDEX(MCQ!$A:$K,ROW()-1+1,6),""),IF(ROW()-1&lt;=$L$2+$M$2,IFERROR(INDEX(CLOZE_AB!$A:$K,ROW()-1-$L$2+1,6),""),IF(ROW()-1&lt;=$L$2+$M$2+$N$2,IFERROR(INDEX(CLOZE_LIST!$A:$K,ROW()-1-$L$2-$M$2+1,6),""),IF(ROW()-1&lt;=$L$2+$M$2+$N$2+$O$2,IFERROR(INDEX(PROFORMA!$A:$K,ROW()-1-$L$2-$M$2-$N$2+1,6),""),"")))))</f>
        <v>0</v>
      </c>
      <c r="G179" s="3">
        <f>IF(ROW()-1&lt;=0,"",IF(ROW()-1&lt;=$L$2,IFERROR(INDEX(MCQ!$A:$K,ROW()-1+1,7),""),IF(ROW()-1&lt;=$L$2+$M$2,IFERROR(INDEX(CLOZE_AB!$A:$K,ROW()-1-$L$2+1,7),""),IF(ROW()-1&lt;=$L$2+$M$2+$N$2,IFERROR(INDEX(CLOZE_LIST!$A:$K,ROW()-1-$L$2-$M$2+1,7),""),IF(ROW()-1&lt;=$L$2+$M$2+$N$2+$O$2,IFERROR(INDEX(PROFORMA!$A:$K,ROW()-1-$L$2-$M$2-$N$2+1,7),""),"")))))</f>
        <v>0</v>
      </c>
      <c r="H179" s="3">
        <f>IF(ROW()-1&lt;=0,"",IF(ROW()-1&lt;=$L$2,IFERROR(INDEX(MCQ!$A:$K,ROW()-1+1,8),""),IF(ROW()-1&lt;=$L$2+$M$2,IFERROR(INDEX(CLOZE_AB!$A:$K,ROW()-1-$L$2+1,8),""),IF(ROW()-1&lt;=$L$2+$M$2+$N$2,IFERROR(INDEX(CLOZE_LIST!$A:$K,ROW()-1-$L$2-$M$2+1,8),""),IF(ROW()-1&lt;=$L$2+$M$2+$N$2+$O$2,IFERROR(INDEX(PROFORMA!$A:$K,ROW()-1-$L$2-$M$2-$N$2+1,8),""),"")))))</f>
        <v>0</v>
      </c>
      <c r="I179" s="3">
        <f>IF(ROW()-1&lt;=0,"",IF(ROW()-1&lt;=$L$2,IFERROR(INDEX(MCQ!$A:$K,ROW()-1+1,9),""),IF(ROW()-1&lt;=$L$2+$M$2,IFERROR(INDEX(CLOZE_AB!$A:$K,ROW()-1-$L$2+1,9),""),IF(ROW()-1&lt;=$L$2+$M$2+$N$2,IFERROR(INDEX(CLOZE_LIST!$A:$K,ROW()-1-$L$2-$M$2+1,9),""),IF(ROW()-1&lt;=$L$2+$M$2+$N$2+$O$2,IFERROR(INDEX(PROFORMA!$A:$K,ROW()-1-$L$2-$M$2-$N$2+1,9),""),"")))))</f>
        <v>0</v>
      </c>
      <c r="J179" s="3">
        <f>IF(ROW()-1&lt;=0,"",IF(ROW()-1&lt;=$L$2,IFERROR(INDEX(MCQ!$A:$K,ROW()-1+1,10),""),IF(ROW()-1&lt;=$L$2+$M$2,IFERROR(INDEX(CLOZE_AB!$A:$K,ROW()-1-$L$2+1,10),""),IF(ROW()-1&lt;=$L$2+$M$2+$N$2,IFERROR(INDEX(CLOZE_LIST!$A:$K,ROW()-1-$L$2-$M$2+1,10),""),IF(ROW()-1&lt;=$L$2+$M$2+$N$2+$O$2,IFERROR(INDEX(PROFORMA!$A:$K,ROW()-1-$L$2-$M$2-$N$2+1,10),""),"")))))</f>
        <v>0</v>
      </c>
      <c r="K179" s="3">
        <f>IF(ROW()-1&lt;=0,"",IF(ROW()-1&lt;=$L$2,IFERROR(INDEX(MCQ!$A:$K,ROW()-1+1,11),""),IF(ROW()-1&lt;=$L$2+$M$2,IFERROR(INDEX(CLOZE_AB!$A:$K,ROW()-1-$L$2+1,11),""),IF(ROW()-1&lt;=$L$2+$M$2+$N$2,IFERROR(INDEX(CLOZE_LIST!$A:$K,ROW()-1-$L$2-$M$2+1,11),""),IF(ROW()-1&lt;=$L$2+$M$2+$N$2+$O$2,IFERROR(INDEX(PROFORMA!$A:$K,ROW()-1-$L$2-$M$2-$N$2+1,11),""),"")))))</f>
        <v>0</v>
      </c>
      <c r="L179" s="3">
        <f>COUNTA(MCQ!$A:$A)-1</f>
        <v>122</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
      </c>
      <c r="B180" s="3">
        <f>IF(ROW()-1&lt;=0,"",IF(ROW()-1&lt;=$L$2,IFERROR(INDEX(MCQ!$A:$K,ROW()-1+1,2),""),IF(ROW()-1&lt;=$L$2+$M$2,IFERROR(INDEX(CLOZE_AB!$A:$K,ROW()-1-$L$2+1,2),""),IF(ROW()-1&lt;=$L$2+$M$2+$N$2,IFERROR(INDEX(CLOZE_LIST!$A:$K,ROW()-1-$L$2-$M$2+1,2),""),IF(ROW()-1&lt;=$L$2+$M$2+$N$2+$O$2,IFERROR(INDEX(PROFORMA!$A:$K,ROW()-1-$L$2-$M$2-$N$2+1,2),""),"")))))</f>
        <v>0</v>
      </c>
      <c r="C180" s="3">
        <f>IF(ROW()-1&lt;=0,"",IF(ROW()-1&lt;=$L$2,IFERROR(INDEX(MCQ!$A:$K,ROW()-1+1,3),""),IF(ROW()-1&lt;=$L$2+$M$2,IFERROR(INDEX(CLOZE_AB!$A:$K,ROW()-1-$L$2+1,3),""),IF(ROW()-1&lt;=$L$2+$M$2+$N$2,IFERROR(INDEX(CLOZE_LIST!$A:$K,ROW()-1-$L$2-$M$2+1,3),""),IF(ROW()-1&lt;=$L$2+$M$2+$N$2+$O$2,IFERROR(INDEX(PROFORMA!$A:$K,ROW()-1-$L$2-$M$2-$N$2+1,3),""),"")))))</f>
        <v>0</v>
      </c>
      <c r="D180" s="3">
        <f>IF(ROW()-1&lt;=0,"",IF(ROW()-1&lt;=$L$2,IFERROR(INDEX(MCQ!$A:$K,ROW()-1+1,4),""),IF(ROW()-1&lt;=$L$2+$M$2,IFERROR(INDEX(CLOZE_AB!$A:$K,ROW()-1-$L$2+1,4),""),IF(ROW()-1&lt;=$L$2+$M$2+$N$2,IFERROR(INDEX(CLOZE_LIST!$A:$K,ROW()-1-$L$2-$M$2+1,4),""),IF(ROW()-1&lt;=$L$2+$M$2+$N$2+$O$2,IFERROR(INDEX(PROFORMA!$A:$K,ROW()-1-$L$2-$M$2-$N$2+1,4),""),"")))))</f>
        <v>0</v>
      </c>
      <c r="E180" s="3">
        <f>IF(ROW()-1&lt;=0,"",IF(ROW()-1&lt;=$L$2,IFERROR(INDEX(MCQ!$A:$K,ROW()-1+1,5),""),IF(ROW()-1&lt;=$L$2+$M$2,IFERROR(INDEX(CLOZE_AB!$A:$K,ROW()-1-$L$2+1,5),""),IF(ROW()-1&lt;=$L$2+$M$2+$N$2,IFERROR(INDEX(CLOZE_LIST!$A:$K,ROW()-1-$L$2-$M$2+1,5),""),IF(ROW()-1&lt;=$L$2+$M$2+$N$2+$O$2,IFERROR(INDEX(PROFORMA!$A:$K,ROW()-1-$L$2-$M$2-$N$2+1,5),""),"")))))</f>
        <v>0</v>
      </c>
      <c r="F180" s="3">
        <f>IF(ROW()-1&lt;=0,"",IF(ROW()-1&lt;=$L$2,IFERROR(INDEX(MCQ!$A:$K,ROW()-1+1,6),""),IF(ROW()-1&lt;=$L$2+$M$2,IFERROR(INDEX(CLOZE_AB!$A:$K,ROW()-1-$L$2+1,6),""),IF(ROW()-1&lt;=$L$2+$M$2+$N$2,IFERROR(INDEX(CLOZE_LIST!$A:$K,ROW()-1-$L$2-$M$2+1,6),""),IF(ROW()-1&lt;=$L$2+$M$2+$N$2+$O$2,IFERROR(INDEX(PROFORMA!$A:$K,ROW()-1-$L$2-$M$2-$N$2+1,6),""),"")))))</f>
        <v>0</v>
      </c>
      <c r="G180" s="3">
        <f>IF(ROW()-1&lt;=0,"",IF(ROW()-1&lt;=$L$2,IFERROR(INDEX(MCQ!$A:$K,ROW()-1+1,7),""),IF(ROW()-1&lt;=$L$2+$M$2,IFERROR(INDEX(CLOZE_AB!$A:$K,ROW()-1-$L$2+1,7),""),IF(ROW()-1&lt;=$L$2+$M$2+$N$2,IFERROR(INDEX(CLOZE_LIST!$A:$K,ROW()-1-$L$2-$M$2+1,7),""),IF(ROW()-1&lt;=$L$2+$M$2+$N$2+$O$2,IFERROR(INDEX(PROFORMA!$A:$K,ROW()-1-$L$2-$M$2-$N$2+1,7),""),"")))))</f>
        <v>0</v>
      </c>
      <c r="H180" s="3">
        <f>IF(ROW()-1&lt;=0,"",IF(ROW()-1&lt;=$L$2,IFERROR(INDEX(MCQ!$A:$K,ROW()-1+1,8),""),IF(ROW()-1&lt;=$L$2+$M$2,IFERROR(INDEX(CLOZE_AB!$A:$K,ROW()-1-$L$2+1,8),""),IF(ROW()-1&lt;=$L$2+$M$2+$N$2,IFERROR(INDEX(CLOZE_LIST!$A:$K,ROW()-1-$L$2-$M$2+1,8),""),IF(ROW()-1&lt;=$L$2+$M$2+$N$2+$O$2,IFERROR(INDEX(PROFORMA!$A:$K,ROW()-1-$L$2-$M$2-$N$2+1,8),""),"")))))</f>
        <v>0</v>
      </c>
      <c r="I180" s="3">
        <f>IF(ROW()-1&lt;=0,"",IF(ROW()-1&lt;=$L$2,IFERROR(INDEX(MCQ!$A:$K,ROW()-1+1,9),""),IF(ROW()-1&lt;=$L$2+$M$2,IFERROR(INDEX(CLOZE_AB!$A:$K,ROW()-1-$L$2+1,9),""),IF(ROW()-1&lt;=$L$2+$M$2+$N$2,IFERROR(INDEX(CLOZE_LIST!$A:$K,ROW()-1-$L$2-$M$2+1,9),""),IF(ROW()-1&lt;=$L$2+$M$2+$N$2+$O$2,IFERROR(INDEX(PROFORMA!$A:$K,ROW()-1-$L$2-$M$2-$N$2+1,9),""),"")))))</f>
        <v>0</v>
      </c>
      <c r="J180" s="3">
        <f>IF(ROW()-1&lt;=0,"",IF(ROW()-1&lt;=$L$2,IFERROR(INDEX(MCQ!$A:$K,ROW()-1+1,10),""),IF(ROW()-1&lt;=$L$2+$M$2,IFERROR(INDEX(CLOZE_AB!$A:$K,ROW()-1-$L$2+1,10),""),IF(ROW()-1&lt;=$L$2+$M$2+$N$2,IFERROR(INDEX(CLOZE_LIST!$A:$K,ROW()-1-$L$2-$M$2+1,10),""),IF(ROW()-1&lt;=$L$2+$M$2+$N$2+$O$2,IFERROR(INDEX(PROFORMA!$A:$K,ROW()-1-$L$2-$M$2-$N$2+1,10),""),"")))))</f>
        <v>0</v>
      </c>
      <c r="K180" s="3">
        <f>IF(ROW()-1&lt;=0,"",IF(ROW()-1&lt;=$L$2,IFERROR(INDEX(MCQ!$A:$K,ROW()-1+1,11),""),IF(ROW()-1&lt;=$L$2+$M$2,IFERROR(INDEX(CLOZE_AB!$A:$K,ROW()-1-$L$2+1,11),""),IF(ROW()-1&lt;=$L$2+$M$2+$N$2,IFERROR(INDEX(CLOZE_LIST!$A:$K,ROW()-1-$L$2-$M$2+1,11),""),IF(ROW()-1&lt;=$L$2+$M$2+$N$2+$O$2,IFERROR(INDEX(PROFORMA!$A:$K,ROW()-1-$L$2-$M$2-$N$2+1,11),""),"")))))</f>
        <v>0</v>
      </c>
      <c r="L180" s="3">
        <f>COUNTA(MCQ!$A:$A)-1</f>
        <v>122</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
      </c>
      <c r="B181" s="3">
        <f>IF(ROW()-1&lt;=0,"",IF(ROW()-1&lt;=$L$2,IFERROR(INDEX(MCQ!$A:$K,ROW()-1+1,2),""),IF(ROW()-1&lt;=$L$2+$M$2,IFERROR(INDEX(CLOZE_AB!$A:$K,ROW()-1-$L$2+1,2),""),IF(ROW()-1&lt;=$L$2+$M$2+$N$2,IFERROR(INDEX(CLOZE_LIST!$A:$K,ROW()-1-$L$2-$M$2+1,2),""),IF(ROW()-1&lt;=$L$2+$M$2+$N$2+$O$2,IFERROR(INDEX(PROFORMA!$A:$K,ROW()-1-$L$2-$M$2-$N$2+1,2),""),"")))))</f>
        <v>0</v>
      </c>
      <c r="C181" s="3">
        <f>IF(ROW()-1&lt;=0,"",IF(ROW()-1&lt;=$L$2,IFERROR(INDEX(MCQ!$A:$K,ROW()-1+1,3),""),IF(ROW()-1&lt;=$L$2+$M$2,IFERROR(INDEX(CLOZE_AB!$A:$K,ROW()-1-$L$2+1,3),""),IF(ROW()-1&lt;=$L$2+$M$2+$N$2,IFERROR(INDEX(CLOZE_LIST!$A:$K,ROW()-1-$L$2-$M$2+1,3),""),IF(ROW()-1&lt;=$L$2+$M$2+$N$2+$O$2,IFERROR(INDEX(PROFORMA!$A:$K,ROW()-1-$L$2-$M$2-$N$2+1,3),""),"")))))</f>
        <v>0</v>
      </c>
      <c r="D181" s="3">
        <f>IF(ROW()-1&lt;=0,"",IF(ROW()-1&lt;=$L$2,IFERROR(INDEX(MCQ!$A:$K,ROW()-1+1,4),""),IF(ROW()-1&lt;=$L$2+$M$2,IFERROR(INDEX(CLOZE_AB!$A:$K,ROW()-1-$L$2+1,4),""),IF(ROW()-1&lt;=$L$2+$M$2+$N$2,IFERROR(INDEX(CLOZE_LIST!$A:$K,ROW()-1-$L$2-$M$2+1,4),""),IF(ROW()-1&lt;=$L$2+$M$2+$N$2+$O$2,IFERROR(INDEX(PROFORMA!$A:$K,ROW()-1-$L$2-$M$2-$N$2+1,4),""),"")))))</f>
        <v>0</v>
      </c>
      <c r="E181" s="3">
        <f>IF(ROW()-1&lt;=0,"",IF(ROW()-1&lt;=$L$2,IFERROR(INDEX(MCQ!$A:$K,ROW()-1+1,5),""),IF(ROW()-1&lt;=$L$2+$M$2,IFERROR(INDEX(CLOZE_AB!$A:$K,ROW()-1-$L$2+1,5),""),IF(ROW()-1&lt;=$L$2+$M$2+$N$2,IFERROR(INDEX(CLOZE_LIST!$A:$K,ROW()-1-$L$2-$M$2+1,5),""),IF(ROW()-1&lt;=$L$2+$M$2+$N$2+$O$2,IFERROR(INDEX(PROFORMA!$A:$K,ROW()-1-$L$2-$M$2-$N$2+1,5),""),"")))))</f>
        <v>0</v>
      </c>
      <c r="F181" s="3">
        <f>IF(ROW()-1&lt;=0,"",IF(ROW()-1&lt;=$L$2,IFERROR(INDEX(MCQ!$A:$K,ROW()-1+1,6),""),IF(ROW()-1&lt;=$L$2+$M$2,IFERROR(INDEX(CLOZE_AB!$A:$K,ROW()-1-$L$2+1,6),""),IF(ROW()-1&lt;=$L$2+$M$2+$N$2,IFERROR(INDEX(CLOZE_LIST!$A:$K,ROW()-1-$L$2-$M$2+1,6),""),IF(ROW()-1&lt;=$L$2+$M$2+$N$2+$O$2,IFERROR(INDEX(PROFORMA!$A:$K,ROW()-1-$L$2-$M$2-$N$2+1,6),""),"")))))</f>
        <v>0</v>
      </c>
      <c r="G181" s="3">
        <f>IF(ROW()-1&lt;=0,"",IF(ROW()-1&lt;=$L$2,IFERROR(INDEX(MCQ!$A:$K,ROW()-1+1,7),""),IF(ROW()-1&lt;=$L$2+$M$2,IFERROR(INDEX(CLOZE_AB!$A:$K,ROW()-1-$L$2+1,7),""),IF(ROW()-1&lt;=$L$2+$M$2+$N$2,IFERROR(INDEX(CLOZE_LIST!$A:$K,ROW()-1-$L$2-$M$2+1,7),""),IF(ROW()-1&lt;=$L$2+$M$2+$N$2+$O$2,IFERROR(INDEX(PROFORMA!$A:$K,ROW()-1-$L$2-$M$2-$N$2+1,7),""),"")))))</f>
        <v>0</v>
      </c>
      <c r="H181" s="3">
        <f>IF(ROW()-1&lt;=0,"",IF(ROW()-1&lt;=$L$2,IFERROR(INDEX(MCQ!$A:$K,ROW()-1+1,8),""),IF(ROW()-1&lt;=$L$2+$M$2,IFERROR(INDEX(CLOZE_AB!$A:$K,ROW()-1-$L$2+1,8),""),IF(ROW()-1&lt;=$L$2+$M$2+$N$2,IFERROR(INDEX(CLOZE_LIST!$A:$K,ROW()-1-$L$2-$M$2+1,8),""),IF(ROW()-1&lt;=$L$2+$M$2+$N$2+$O$2,IFERROR(INDEX(PROFORMA!$A:$K,ROW()-1-$L$2-$M$2-$N$2+1,8),""),"")))))</f>
        <v>0</v>
      </c>
      <c r="I181" s="3">
        <f>IF(ROW()-1&lt;=0,"",IF(ROW()-1&lt;=$L$2,IFERROR(INDEX(MCQ!$A:$K,ROW()-1+1,9),""),IF(ROW()-1&lt;=$L$2+$M$2,IFERROR(INDEX(CLOZE_AB!$A:$K,ROW()-1-$L$2+1,9),""),IF(ROW()-1&lt;=$L$2+$M$2+$N$2,IFERROR(INDEX(CLOZE_LIST!$A:$K,ROW()-1-$L$2-$M$2+1,9),""),IF(ROW()-1&lt;=$L$2+$M$2+$N$2+$O$2,IFERROR(INDEX(PROFORMA!$A:$K,ROW()-1-$L$2-$M$2-$N$2+1,9),""),"")))))</f>
        <v>0</v>
      </c>
      <c r="J181" s="3">
        <f>IF(ROW()-1&lt;=0,"",IF(ROW()-1&lt;=$L$2,IFERROR(INDEX(MCQ!$A:$K,ROW()-1+1,10),""),IF(ROW()-1&lt;=$L$2+$M$2,IFERROR(INDEX(CLOZE_AB!$A:$K,ROW()-1-$L$2+1,10),""),IF(ROW()-1&lt;=$L$2+$M$2+$N$2,IFERROR(INDEX(CLOZE_LIST!$A:$K,ROW()-1-$L$2-$M$2+1,10),""),IF(ROW()-1&lt;=$L$2+$M$2+$N$2+$O$2,IFERROR(INDEX(PROFORMA!$A:$K,ROW()-1-$L$2-$M$2-$N$2+1,10),""),"")))))</f>
        <v>0</v>
      </c>
      <c r="K181" s="3">
        <f>IF(ROW()-1&lt;=0,"",IF(ROW()-1&lt;=$L$2,IFERROR(INDEX(MCQ!$A:$K,ROW()-1+1,11),""),IF(ROW()-1&lt;=$L$2+$M$2,IFERROR(INDEX(CLOZE_AB!$A:$K,ROW()-1-$L$2+1,11),""),IF(ROW()-1&lt;=$L$2+$M$2+$N$2,IFERROR(INDEX(CLOZE_LIST!$A:$K,ROW()-1-$L$2-$M$2+1,11),""),IF(ROW()-1&lt;=$L$2+$M$2+$N$2+$O$2,IFERROR(INDEX(PROFORMA!$A:$K,ROW()-1-$L$2-$M$2-$N$2+1,11),""),"")))))</f>
        <v>0</v>
      </c>
      <c r="L181" s="3">
        <f>COUNTA(MCQ!$A:$A)-1</f>
        <v>122</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
      </c>
      <c r="B182" s="3">
        <f>IF(ROW()-1&lt;=0,"",IF(ROW()-1&lt;=$L$2,IFERROR(INDEX(MCQ!$A:$K,ROW()-1+1,2),""),IF(ROW()-1&lt;=$L$2+$M$2,IFERROR(INDEX(CLOZE_AB!$A:$K,ROW()-1-$L$2+1,2),""),IF(ROW()-1&lt;=$L$2+$M$2+$N$2,IFERROR(INDEX(CLOZE_LIST!$A:$K,ROW()-1-$L$2-$M$2+1,2),""),IF(ROW()-1&lt;=$L$2+$M$2+$N$2+$O$2,IFERROR(INDEX(PROFORMA!$A:$K,ROW()-1-$L$2-$M$2-$N$2+1,2),""),"")))))</f>
        <v>0</v>
      </c>
      <c r="C182" s="3">
        <f>IF(ROW()-1&lt;=0,"",IF(ROW()-1&lt;=$L$2,IFERROR(INDEX(MCQ!$A:$K,ROW()-1+1,3),""),IF(ROW()-1&lt;=$L$2+$M$2,IFERROR(INDEX(CLOZE_AB!$A:$K,ROW()-1-$L$2+1,3),""),IF(ROW()-1&lt;=$L$2+$M$2+$N$2,IFERROR(INDEX(CLOZE_LIST!$A:$K,ROW()-1-$L$2-$M$2+1,3),""),IF(ROW()-1&lt;=$L$2+$M$2+$N$2+$O$2,IFERROR(INDEX(PROFORMA!$A:$K,ROW()-1-$L$2-$M$2-$N$2+1,3),""),"")))))</f>
        <v>0</v>
      </c>
      <c r="D182" s="3">
        <f>IF(ROW()-1&lt;=0,"",IF(ROW()-1&lt;=$L$2,IFERROR(INDEX(MCQ!$A:$K,ROW()-1+1,4),""),IF(ROW()-1&lt;=$L$2+$M$2,IFERROR(INDEX(CLOZE_AB!$A:$K,ROW()-1-$L$2+1,4),""),IF(ROW()-1&lt;=$L$2+$M$2+$N$2,IFERROR(INDEX(CLOZE_LIST!$A:$K,ROW()-1-$L$2-$M$2+1,4),""),IF(ROW()-1&lt;=$L$2+$M$2+$N$2+$O$2,IFERROR(INDEX(PROFORMA!$A:$K,ROW()-1-$L$2-$M$2-$N$2+1,4),""),"")))))</f>
        <v>0</v>
      </c>
      <c r="E182" s="3">
        <f>IF(ROW()-1&lt;=0,"",IF(ROW()-1&lt;=$L$2,IFERROR(INDEX(MCQ!$A:$K,ROW()-1+1,5),""),IF(ROW()-1&lt;=$L$2+$M$2,IFERROR(INDEX(CLOZE_AB!$A:$K,ROW()-1-$L$2+1,5),""),IF(ROW()-1&lt;=$L$2+$M$2+$N$2,IFERROR(INDEX(CLOZE_LIST!$A:$K,ROW()-1-$L$2-$M$2+1,5),""),IF(ROW()-1&lt;=$L$2+$M$2+$N$2+$O$2,IFERROR(INDEX(PROFORMA!$A:$K,ROW()-1-$L$2-$M$2-$N$2+1,5),""),"")))))</f>
        <v>0</v>
      </c>
      <c r="F182" s="3">
        <f>IF(ROW()-1&lt;=0,"",IF(ROW()-1&lt;=$L$2,IFERROR(INDEX(MCQ!$A:$K,ROW()-1+1,6),""),IF(ROW()-1&lt;=$L$2+$M$2,IFERROR(INDEX(CLOZE_AB!$A:$K,ROW()-1-$L$2+1,6),""),IF(ROW()-1&lt;=$L$2+$M$2+$N$2,IFERROR(INDEX(CLOZE_LIST!$A:$K,ROW()-1-$L$2-$M$2+1,6),""),IF(ROW()-1&lt;=$L$2+$M$2+$N$2+$O$2,IFERROR(INDEX(PROFORMA!$A:$K,ROW()-1-$L$2-$M$2-$N$2+1,6),""),"")))))</f>
        <v>0</v>
      </c>
      <c r="G182" s="3">
        <f>IF(ROW()-1&lt;=0,"",IF(ROW()-1&lt;=$L$2,IFERROR(INDEX(MCQ!$A:$K,ROW()-1+1,7),""),IF(ROW()-1&lt;=$L$2+$M$2,IFERROR(INDEX(CLOZE_AB!$A:$K,ROW()-1-$L$2+1,7),""),IF(ROW()-1&lt;=$L$2+$M$2+$N$2,IFERROR(INDEX(CLOZE_LIST!$A:$K,ROW()-1-$L$2-$M$2+1,7),""),IF(ROW()-1&lt;=$L$2+$M$2+$N$2+$O$2,IFERROR(INDEX(PROFORMA!$A:$K,ROW()-1-$L$2-$M$2-$N$2+1,7),""),"")))))</f>
        <v>0</v>
      </c>
      <c r="H182" s="3">
        <f>IF(ROW()-1&lt;=0,"",IF(ROW()-1&lt;=$L$2,IFERROR(INDEX(MCQ!$A:$K,ROW()-1+1,8),""),IF(ROW()-1&lt;=$L$2+$M$2,IFERROR(INDEX(CLOZE_AB!$A:$K,ROW()-1-$L$2+1,8),""),IF(ROW()-1&lt;=$L$2+$M$2+$N$2,IFERROR(INDEX(CLOZE_LIST!$A:$K,ROW()-1-$L$2-$M$2+1,8),""),IF(ROW()-1&lt;=$L$2+$M$2+$N$2+$O$2,IFERROR(INDEX(PROFORMA!$A:$K,ROW()-1-$L$2-$M$2-$N$2+1,8),""),"")))))</f>
        <v>0</v>
      </c>
      <c r="I182" s="3">
        <f>IF(ROW()-1&lt;=0,"",IF(ROW()-1&lt;=$L$2,IFERROR(INDEX(MCQ!$A:$K,ROW()-1+1,9),""),IF(ROW()-1&lt;=$L$2+$M$2,IFERROR(INDEX(CLOZE_AB!$A:$K,ROW()-1-$L$2+1,9),""),IF(ROW()-1&lt;=$L$2+$M$2+$N$2,IFERROR(INDEX(CLOZE_LIST!$A:$K,ROW()-1-$L$2-$M$2+1,9),""),IF(ROW()-1&lt;=$L$2+$M$2+$N$2+$O$2,IFERROR(INDEX(PROFORMA!$A:$K,ROW()-1-$L$2-$M$2-$N$2+1,9),""),"")))))</f>
        <v>0</v>
      </c>
      <c r="J182" s="3">
        <f>IF(ROW()-1&lt;=0,"",IF(ROW()-1&lt;=$L$2,IFERROR(INDEX(MCQ!$A:$K,ROW()-1+1,10),""),IF(ROW()-1&lt;=$L$2+$M$2,IFERROR(INDEX(CLOZE_AB!$A:$K,ROW()-1-$L$2+1,10),""),IF(ROW()-1&lt;=$L$2+$M$2+$N$2,IFERROR(INDEX(CLOZE_LIST!$A:$K,ROW()-1-$L$2-$M$2+1,10),""),IF(ROW()-1&lt;=$L$2+$M$2+$N$2+$O$2,IFERROR(INDEX(PROFORMA!$A:$K,ROW()-1-$L$2-$M$2-$N$2+1,10),""),"")))))</f>
        <v>0</v>
      </c>
      <c r="K182" s="3">
        <f>IF(ROW()-1&lt;=0,"",IF(ROW()-1&lt;=$L$2,IFERROR(INDEX(MCQ!$A:$K,ROW()-1+1,11),""),IF(ROW()-1&lt;=$L$2+$M$2,IFERROR(INDEX(CLOZE_AB!$A:$K,ROW()-1-$L$2+1,11),""),IF(ROW()-1&lt;=$L$2+$M$2+$N$2,IFERROR(INDEX(CLOZE_LIST!$A:$K,ROW()-1-$L$2-$M$2+1,11),""),IF(ROW()-1&lt;=$L$2+$M$2+$N$2+$O$2,IFERROR(INDEX(PROFORMA!$A:$K,ROW()-1-$L$2-$M$2-$N$2+1,11),""),"")))))</f>
        <v>0</v>
      </c>
      <c r="L182" s="3">
        <f>COUNTA(MCQ!$A:$A)-1</f>
        <v>122</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
      </c>
      <c r="B183" s="3">
        <f>IF(ROW()-1&lt;=0,"",IF(ROW()-1&lt;=$L$2,IFERROR(INDEX(MCQ!$A:$K,ROW()-1+1,2),""),IF(ROW()-1&lt;=$L$2+$M$2,IFERROR(INDEX(CLOZE_AB!$A:$K,ROW()-1-$L$2+1,2),""),IF(ROW()-1&lt;=$L$2+$M$2+$N$2,IFERROR(INDEX(CLOZE_LIST!$A:$K,ROW()-1-$L$2-$M$2+1,2),""),IF(ROW()-1&lt;=$L$2+$M$2+$N$2+$O$2,IFERROR(INDEX(PROFORMA!$A:$K,ROW()-1-$L$2-$M$2-$N$2+1,2),""),"")))))</f>
        <v>0</v>
      </c>
      <c r="C183" s="3">
        <f>IF(ROW()-1&lt;=0,"",IF(ROW()-1&lt;=$L$2,IFERROR(INDEX(MCQ!$A:$K,ROW()-1+1,3),""),IF(ROW()-1&lt;=$L$2+$M$2,IFERROR(INDEX(CLOZE_AB!$A:$K,ROW()-1-$L$2+1,3),""),IF(ROW()-1&lt;=$L$2+$M$2+$N$2,IFERROR(INDEX(CLOZE_LIST!$A:$K,ROW()-1-$L$2-$M$2+1,3),""),IF(ROW()-1&lt;=$L$2+$M$2+$N$2+$O$2,IFERROR(INDEX(PROFORMA!$A:$K,ROW()-1-$L$2-$M$2-$N$2+1,3),""),"")))))</f>
        <v>0</v>
      </c>
      <c r="D183" s="3">
        <f>IF(ROW()-1&lt;=0,"",IF(ROW()-1&lt;=$L$2,IFERROR(INDEX(MCQ!$A:$K,ROW()-1+1,4),""),IF(ROW()-1&lt;=$L$2+$M$2,IFERROR(INDEX(CLOZE_AB!$A:$K,ROW()-1-$L$2+1,4),""),IF(ROW()-1&lt;=$L$2+$M$2+$N$2,IFERROR(INDEX(CLOZE_LIST!$A:$K,ROW()-1-$L$2-$M$2+1,4),""),IF(ROW()-1&lt;=$L$2+$M$2+$N$2+$O$2,IFERROR(INDEX(PROFORMA!$A:$K,ROW()-1-$L$2-$M$2-$N$2+1,4),""),"")))))</f>
        <v>0</v>
      </c>
      <c r="E183" s="3">
        <f>IF(ROW()-1&lt;=0,"",IF(ROW()-1&lt;=$L$2,IFERROR(INDEX(MCQ!$A:$K,ROW()-1+1,5),""),IF(ROW()-1&lt;=$L$2+$M$2,IFERROR(INDEX(CLOZE_AB!$A:$K,ROW()-1-$L$2+1,5),""),IF(ROW()-1&lt;=$L$2+$M$2+$N$2,IFERROR(INDEX(CLOZE_LIST!$A:$K,ROW()-1-$L$2-$M$2+1,5),""),IF(ROW()-1&lt;=$L$2+$M$2+$N$2+$O$2,IFERROR(INDEX(PROFORMA!$A:$K,ROW()-1-$L$2-$M$2-$N$2+1,5),""),"")))))</f>
        <v>0</v>
      </c>
      <c r="F183" s="3">
        <f>IF(ROW()-1&lt;=0,"",IF(ROW()-1&lt;=$L$2,IFERROR(INDEX(MCQ!$A:$K,ROW()-1+1,6),""),IF(ROW()-1&lt;=$L$2+$M$2,IFERROR(INDEX(CLOZE_AB!$A:$K,ROW()-1-$L$2+1,6),""),IF(ROW()-1&lt;=$L$2+$M$2+$N$2,IFERROR(INDEX(CLOZE_LIST!$A:$K,ROW()-1-$L$2-$M$2+1,6),""),IF(ROW()-1&lt;=$L$2+$M$2+$N$2+$O$2,IFERROR(INDEX(PROFORMA!$A:$K,ROW()-1-$L$2-$M$2-$N$2+1,6),""),"")))))</f>
        <v>0</v>
      </c>
      <c r="G183" s="3">
        <f>IF(ROW()-1&lt;=0,"",IF(ROW()-1&lt;=$L$2,IFERROR(INDEX(MCQ!$A:$K,ROW()-1+1,7),""),IF(ROW()-1&lt;=$L$2+$M$2,IFERROR(INDEX(CLOZE_AB!$A:$K,ROW()-1-$L$2+1,7),""),IF(ROW()-1&lt;=$L$2+$M$2+$N$2,IFERROR(INDEX(CLOZE_LIST!$A:$K,ROW()-1-$L$2-$M$2+1,7),""),IF(ROW()-1&lt;=$L$2+$M$2+$N$2+$O$2,IFERROR(INDEX(PROFORMA!$A:$K,ROW()-1-$L$2-$M$2-$N$2+1,7),""),"")))))</f>
        <v>0</v>
      </c>
      <c r="H183" s="3">
        <f>IF(ROW()-1&lt;=0,"",IF(ROW()-1&lt;=$L$2,IFERROR(INDEX(MCQ!$A:$K,ROW()-1+1,8),""),IF(ROW()-1&lt;=$L$2+$M$2,IFERROR(INDEX(CLOZE_AB!$A:$K,ROW()-1-$L$2+1,8),""),IF(ROW()-1&lt;=$L$2+$M$2+$N$2,IFERROR(INDEX(CLOZE_LIST!$A:$K,ROW()-1-$L$2-$M$2+1,8),""),IF(ROW()-1&lt;=$L$2+$M$2+$N$2+$O$2,IFERROR(INDEX(PROFORMA!$A:$K,ROW()-1-$L$2-$M$2-$N$2+1,8),""),"")))))</f>
        <v>0</v>
      </c>
      <c r="I183" s="3">
        <f>IF(ROW()-1&lt;=0,"",IF(ROW()-1&lt;=$L$2,IFERROR(INDEX(MCQ!$A:$K,ROW()-1+1,9),""),IF(ROW()-1&lt;=$L$2+$M$2,IFERROR(INDEX(CLOZE_AB!$A:$K,ROW()-1-$L$2+1,9),""),IF(ROW()-1&lt;=$L$2+$M$2+$N$2,IFERROR(INDEX(CLOZE_LIST!$A:$K,ROW()-1-$L$2-$M$2+1,9),""),IF(ROW()-1&lt;=$L$2+$M$2+$N$2+$O$2,IFERROR(INDEX(PROFORMA!$A:$K,ROW()-1-$L$2-$M$2-$N$2+1,9),""),"")))))</f>
        <v>0</v>
      </c>
      <c r="J183" s="3">
        <f>IF(ROW()-1&lt;=0,"",IF(ROW()-1&lt;=$L$2,IFERROR(INDEX(MCQ!$A:$K,ROW()-1+1,10),""),IF(ROW()-1&lt;=$L$2+$M$2,IFERROR(INDEX(CLOZE_AB!$A:$K,ROW()-1-$L$2+1,10),""),IF(ROW()-1&lt;=$L$2+$M$2+$N$2,IFERROR(INDEX(CLOZE_LIST!$A:$K,ROW()-1-$L$2-$M$2+1,10),""),IF(ROW()-1&lt;=$L$2+$M$2+$N$2+$O$2,IFERROR(INDEX(PROFORMA!$A:$K,ROW()-1-$L$2-$M$2-$N$2+1,10),""),"")))))</f>
        <v>0</v>
      </c>
      <c r="K183" s="3">
        <f>IF(ROW()-1&lt;=0,"",IF(ROW()-1&lt;=$L$2,IFERROR(INDEX(MCQ!$A:$K,ROW()-1+1,11),""),IF(ROW()-1&lt;=$L$2+$M$2,IFERROR(INDEX(CLOZE_AB!$A:$K,ROW()-1-$L$2+1,11),""),IF(ROW()-1&lt;=$L$2+$M$2+$N$2,IFERROR(INDEX(CLOZE_LIST!$A:$K,ROW()-1-$L$2-$M$2+1,11),""),IF(ROW()-1&lt;=$L$2+$M$2+$N$2+$O$2,IFERROR(INDEX(PROFORMA!$A:$K,ROW()-1-$L$2-$M$2-$N$2+1,11),""),"")))))</f>
        <v>0</v>
      </c>
      <c r="L183" s="3">
        <f>COUNTA(MCQ!$A:$A)-1</f>
        <v>122</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
      </c>
      <c r="B184" s="3">
        <f>IF(ROW()-1&lt;=0,"",IF(ROW()-1&lt;=$L$2,IFERROR(INDEX(MCQ!$A:$K,ROW()-1+1,2),""),IF(ROW()-1&lt;=$L$2+$M$2,IFERROR(INDEX(CLOZE_AB!$A:$K,ROW()-1-$L$2+1,2),""),IF(ROW()-1&lt;=$L$2+$M$2+$N$2,IFERROR(INDEX(CLOZE_LIST!$A:$K,ROW()-1-$L$2-$M$2+1,2),""),IF(ROW()-1&lt;=$L$2+$M$2+$N$2+$O$2,IFERROR(INDEX(PROFORMA!$A:$K,ROW()-1-$L$2-$M$2-$N$2+1,2),""),"")))))</f>
        <v>0</v>
      </c>
      <c r="C184" s="3">
        <f>IF(ROW()-1&lt;=0,"",IF(ROW()-1&lt;=$L$2,IFERROR(INDEX(MCQ!$A:$K,ROW()-1+1,3),""),IF(ROW()-1&lt;=$L$2+$M$2,IFERROR(INDEX(CLOZE_AB!$A:$K,ROW()-1-$L$2+1,3),""),IF(ROW()-1&lt;=$L$2+$M$2+$N$2,IFERROR(INDEX(CLOZE_LIST!$A:$K,ROW()-1-$L$2-$M$2+1,3),""),IF(ROW()-1&lt;=$L$2+$M$2+$N$2+$O$2,IFERROR(INDEX(PROFORMA!$A:$K,ROW()-1-$L$2-$M$2-$N$2+1,3),""),"")))))</f>
        <v>0</v>
      </c>
      <c r="D184" s="3">
        <f>IF(ROW()-1&lt;=0,"",IF(ROW()-1&lt;=$L$2,IFERROR(INDEX(MCQ!$A:$K,ROW()-1+1,4),""),IF(ROW()-1&lt;=$L$2+$M$2,IFERROR(INDEX(CLOZE_AB!$A:$K,ROW()-1-$L$2+1,4),""),IF(ROW()-1&lt;=$L$2+$M$2+$N$2,IFERROR(INDEX(CLOZE_LIST!$A:$K,ROW()-1-$L$2-$M$2+1,4),""),IF(ROW()-1&lt;=$L$2+$M$2+$N$2+$O$2,IFERROR(INDEX(PROFORMA!$A:$K,ROW()-1-$L$2-$M$2-$N$2+1,4),""),"")))))</f>
        <v>0</v>
      </c>
      <c r="E184" s="3">
        <f>IF(ROW()-1&lt;=0,"",IF(ROW()-1&lt;=$L$2,IFERROR(INDEX(MCQ!$A:$K,ROW()-1+1,5),""),IF(ROW()-1&lt;=$L$2+$M$2,IFERROR(INDEX(CLOZE_AB!$A:$K,ROW()-1-$L$2+1,5),""),IF(ROW()-1&lt;=$L$2+$M$2+$N$2,IFERROR(INDEX(CLOZE_LIST!$A:$K,ROW()-1-$L$2-$M$2+1,5),""),IF(ROW()-1&lt;=$L$2+$M$2+$N$2+$O$2,IFERROR(INDEX(PROFORMA!$A:$K,ROW()-1-$L$2-$M$2-$N$2+1,5),""),"")))))</f>
        <v>0</v>
      </c>
      <c r="F184" s="3">
        <f>IF(ROW()-1&lt;=0,"",IF(ROW()-1&lt;=$L$2,IFERROR(INDEX(MCQ!$A:$K,ROW()-1+1,6),""),IF(ROW()-1&lt;=$L$2+$M$2,IFERROR(INDEX(CLOZE_AB!$A:$K,ROW()-1-$L$2+1,6),""),IF(ROW()-1&lt;=$L$2+$M$2+$N$2,IFERROR(INDEX(CLOZE_LIST!$A:$K,ROW()-1-$L$2-$M$2+1,6),""),IF(ROW()-1&lt;=$L$2+$M$2+$N$2+$O$2,IFERROR(INDEX(PROFORMA!$A:$K,ROW()-1-$L$2-$M$2-$N$2+1,6),""),"")))))</f>
        <v>0</v>
      </c>
      <c r="G184" s="3">
        <f>IF(ROW()-1&lt;=0,"",IF(ROW()-1&lt;=$L$2,IFERROR(INDEX(MCQ!$A:$K,ROW()-1+1,7),""),IF(ROW()-1&lt;=$L$2+$M$2,IFERROR(INDEX(CLOZE_AB!$A:$K,ROW()-1-$L$2+1,7),""),IF(ROW()-1&lt;=$L$2+$M$2+$N$2,IFERROR(INDEX(CLOZE_LIST!$A:$K,ROW()-1-$L$2-$M$2+1,7),""),IF(ROW()-1&lt;=$L$2+$M$2+$N$2+$O$2,IFERROR(INDEX(PROFORMA!$A:$K,ROW()-1-$L$2-$M$2-$N$2+1,7),""),"")))))</f>
        <v>0</v>
      </c>
      <c r="H184" s="3">
        <f>IF(ROW()-1&lt;=0,"",IF(ROW()-1&lt;=$L$2,IFERROR(INDEX(MCQ!$A:$K,ROW()-1+1,8),""),IF(ROW()-1&lt;=$L$2+$M$2,IFERROR(INDEX(CLOZE_AB!$A:$K,ROW()-1-$L$2+1,8),""),IF(ROW()-1&lt;=$L$2+$M$2+$N$2,IFERROR(INDEX(CLOZE_LIST!$A:$K,ROW()-1-$L$2-$M$2+1,8),""),IF(ROW()-1&lt;=$L$2+$M$2+$N$2+$O$2,IFERROR(INDEX(PROFORMA!$A:$K,ROW()-1-$L$2-$M$2-$N$2+1,8),""),"")))))</f>
        <v>0</v>
      </c>
      <c r="I184" s="3">
        <f>IF(ROW()-1&lt;=0,"",IF(ROW()-1&lt;=$L$2,IFERROR(INDEX(MCQ!$A:$K,ROW()-1+1,9),""),IF(ROW()-1&lt;=$L$2+$M$2,IFERROR(INDEX(CLOZE_AB!$A:$K,ROW()-1-$L$2+1,9),""),IF(ROW()-1&lt;=$L$2+$M$2+$N$2,IFERROR(INDEX(CLOZE_LIST!$A:$K,ROW()-1-$L$2-$M$2+1,9),""),IF(ROW()-1&lt;=$L$2+$M$2+$N$2+$O$2,IFERROR(INDEX(PROFORMA!$A:$K,ROW()-1-$L$2-$M$2-$N$2+1,9),""),"")))))</f>
        <v>0</v>
      </c>
      <c r="J184" s="3">
        <f>IF(ROW()-1&lt;=0,"",IF(ROW()-1&lt;=$L$2,IFERROR(INDEX(MCQ!$A:$K,ROW()-1+1,10),""),IF(ROW()-1&lt;=$L$2+$M$2,IFERROR(INDEX(CLOZE_AB!$A:$K,ROW()-1-$L$2+1,10),""),IF(ROW()-1&lt;=$L$2+$M$2+$N$2,IFERROR(INDEX(CLOZE_LIST!$A:$K,ROW()-1-$L$2-$M$2+1,10),""),IF(ROW()-1&lt;=$L$2+$M$2+$N$2+$O$2,IFERROR(INDEX(PROFORMA!$A:$K,ROW()-1-$L$2-$M$2-$N$2+1,10),""),"")))))</f>
        <v>0</v>
      </c>
      <c r="K184" s="3">
        <f>IF(ROW()-1&lt;=0,"",IF(ROW()-1&lt;=$L$2,IFERROR(INDEX(MCQ!$A:$K,ROW()-1+1,11),""),IF(ROW()-1&lt;=$L$2+$M$2,IFERROR(INDEX(CLOZE_AB!$A:$K,ROW()-1-$L$2+1,11),""),IF(ROW()-1&lt;=$L$2+$M$2+$N$2,IFERROR(INDEX(CLOZE_LIST!$A:$K,ROW()-1-$L$2-$M$2+1,11),""),IF(ROW()-1&lt;=$L$2+$M$2+$N$2+$O$2,IFERROR(INDEX(PROFORMA!$A:$K,ROW()-1-$L$2-$M$2-$N$2+1,11),""),"")))))</f>
        <v>0</v>
      </c>
      <c r="L184" s="3">
        <f>COUNTA(MCQ!$A:$A)-1</f>
        <v>122</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
      </c>
      <c r="B185" s="3">
        <f>IF(ROW()-1&lt;=0,"",IF(ROW()-1&lt;=$L$2,IFERROR(INDEX(MCQ!$A:$K,ROW()-1+1,2),""),IF(ROW()-1&lt;=$L$2+$M$2,IFERROR(INDEX(CLOZE_AB!$A:$K,ROW()-1-$L$2+1,2),""),IF(ROW()-1&lt;=$L$2+$M$2+$N$2,IFERROR(INDEX(CLOZE_LIST!$A:$K,ROW()-1-$L$2-$M$2+1,2),""),IF(ROW()-1&lt;=$L$2+$M$2+$N$2+$O$2,IFERROR(INDEX(PROFORMA!$A:$K,ROW()-1-$L$2-$M$2-$N$2+1,2),""),"")))))</f>
        <v>0</v>
      </c>
      <c r="C185" s="3">
        <f>IF(ROW()-1&lt;=0,"",IF(ROW()-1&lt;=$L$2,IFERROR(INDEX(MCQ!$A:$K,ROW()-1+1,3),""),IF(ROW()-1&lt;=$L$2+$M$2,IFERROR(INDEX(CLOZE_AB!$A:$K,ROW()-1-$L$2+1,3),""),IF(ROW()-1&lt;=$L$2+$M$2+$N$2,IFERROR(INDEX(CLOZE_LIST!$A:$K,ROW()-1-$L$2-$M$2+1,3),""),IF(ROW()-1&lt;=$L$2+$M$2+$N$2+$O$2,IFERROR(INDEX(PROFORMA!$A:$K,ROW()-1-$L$2-$M$2-$N$2+1,3),""),"")))))</f>
        <v>0</v>
      </c>
      <c r="D185" s="3">
        <f>IF(ROW()-1&lt;=0,"",IF(ROW()-1&lt;=$L$2,IFERROR(INDEX(MCQ!$A:$K,ROW()-1+1,4),""),IF(ROW()-1&lt;=$L$2+$M$2,IFERROR(INDEX(CLOZE_AB!$A:$K,ROW()-1-$L$2+1,4),""),IF(ROW()-1&lt;=$L$2+$M$2+$N$2,IFERROR(INDEX(CLOZE_LIST!$A:$K,ROW()-1-$L$2-$M$2+1,4),""),IF(ROW()-1&lt;=$L$2+$M$2+$N$2+$O$2,IFERROR(INDEX(PROFORMA!$A:$K,ROW()-1-$L$2-$M$2-$N$2+1,4),""),"")))))</f>
        <v>0</v>
      </c>
      <c r="E185" s="3">
        <f>IF(ROW()-1&lt;=0,"",IF(ROW()-1&lt;=$L$2,IFERROR(INDEX(MCQ!$A:$K,ROW()-1+1,5),""),IF(ROW()-1&lt;=$L$2+$M$2,IFERROR(INDEX(CLOZE_AB!$A:$K,ROW()-1-$L$2+1,5),""),IF(ROW()-1&lt;=$L$2+$M$2+$N$2,IFERROR(INDEX(CLOZE_LIST!$A:$K,ROW()-1-$L$2-$M$2+1,5),""),IF(ROW()-1&lt;=$L$2+$M$2+$N$2+$O$2,IFERROR(INDEX(PROFORMA!$A:$K,ROW()-1-$L$2-$M$2-$N$2+1,5),""),"")))))</f>
        <v>0</v>
      </c>
      <c r="F185" s="3">
        <f>IF(ROW()-1&lt;=0,"",IF(ROW()-1&lt;=$L$2,IFERROR(INDEX(MCQ!$A:$K,ROW()-1+1,6),""),IF(ROW()-1&lt;=$L$2+$M$2,IFERROR(INDEX(CLOZE_AB!$A:$K,ROW()-1-$L$2+1,6),""),IF(ROW()-1&lt;=$L$2+$M$2+$N$2,IFERROR(INDEX(CLOZE_LIST!$A:$K,ROW()-1-$L$2-$M$2+1,6),""),IF(ROW()-1&lt;=$L$2+$M$2+$N$2+$O$2,IFERROR(INDEX(PROFORMA!$A:$K,ROW()-1-$L$2-$M$2-$N$2+1,6),""),"")))))</f>
        <v>0</v>
      </c>
      <c r="G185" s="3">
        <f>IF(ROW()-1&lt;=0,"",IF(ROW()-1&lt;=$L$2,IFERROR(INDEX(MCQ!$A:$K,ROW()-1+1,7),""),IF(ROW()-1&lt;=$L$2+$M$2,IFERROR(INDEX(CLOZE_AB!$A:$K,ROW()-1-$L$2+1,7),""),IF(ROW()-1&lt;=$L$2+$M$2+$N$2,IFERROR(INDEX(CLOZE_LIST!$A:$K,ROW()-1-$L$2-$M$2+1,7),""),IF(ROW()-1&lt;=$L$2+$M$2+$N$2+$O$2,IFERROR(INDEX(PROFORMA!$A:$K,ROW()-1-$L$2-$M$2-$N$2+1,7),""),"")))))</f>
        <v>0</v>
      </c>
      <c r="H185" s="3">
        <f>IF(ROW()-1&lt;=0,"",IF(ROW()-1&lt;=$L$2,IFERROR(INDEX(MCQ!$A:$K,ROW()-1+1,8),""),IF(ROW()-1&lt;=$L$2+$M$2,IFERROR(INDEX(CLOZE_AB!$A:$K,ROW()-1-$L$2+1,8),""),IF(ROW()-1&lt;=$L$2+$M$2+$N$2,IFERROR(INDEX(CLOZE_LIST!$A:$K,ROW()-1-$L$2-$M$2+1,8),""),IF(ROW()-1&lt;=$L$2+$M$2+$N$2+$O$2,IFERROR(INDEX(PROFORMA!$A:$K,ROW()-1-$L$2-$M$2-$N$2+1,8),""),"")))))</f>
        <v>0</v>
      </c>
      <c r="I185" s="3">
        <f>IF(ROW()-1&lt;=0,"",IF(ROW()-1&lt;=$L$2,IFERROR(INDEX(MCQ!$A:$K,ROW()-1+1,9),""),IF(ROW()-1&lt;=$L$2+$M$2,IFERROR(INDEX(CLOZE_AB!$A:$K,ROW()-1-$L$2+1,9),""),IF(ROW()-1&lt;=$L$2+$M$2+$N$2,IFERROR(INDEX(CLOZE_LIST!$A:$K,ROW()-1-$L$2-$M$2+1,9),""),IF(ROW()-1&lt;=$L$2+$M$2+$N$2+$O$2,IFERROR(INDEX(PROFORMA!$A:$K,ROW()-1-$L$2-$M$2-$N$2+1,9),""),"")))))</f>
        <v>0</v>
      </c>
      <c r="J185" s="3">
        <f>IF(ROW()-1&lt;=0,"",IF(ROW()-1&lt;=$L$2,IFERROR(INDEX(MCQ!$A:$K,ROW()-1+1,10),""),IF(ROW()-1&lt;=$L$2+$M$2,IFERROR(INDEX(CLOZE_AB!$A:$K,ROW()-1-$L$2+1,10),""),IF(ROW()-1&lt;=$L$2+$M$2+$N$2,IFERROR(INDEX(CLOZE_LIST!$A:$K,ROW()-1-$L$2-$M$2+1,10),""),IF(ROW()-1&lt;=$L$2+$M$2+$N$2+$O$2,IFERROR(INDEX(PROFORMA!$A:$K,ROW()-1-$L$2-$M$2-$N$2+1,10),""),"")))))</f>
        <v>0</v>
      </c>
      <c r="K185" s="3">
        <f>IF(ROW()-1&lt;=0,"",IF(ROW()-1&lt;=$L$2,IFERROR(INDEX(MCQ!$A:$K,ROW()-1+1,11),""),IF(ROW()-1&lt;=$L$2+$M$2,IFERROR(INDEX(CLOZE_AB!$A:$K,ROW()-1-$L$2+1,11),""),IF(ROW()-1&lt;=$L$2+$M$2+$N$2,IFERROR(INDEX(CLOZE_LIST!$A:$K,ROW()-1-$L$2-$M$2+1,11),""),IF(ROW()-1&lt;=$L$2+$M$2+$N$2+$O$2,IFERROR(INDEX(PROFORMA!$A:$K,ROW()-1-$L$2-$M$2-$N$2+1,11),""),"")))))</f>
        <v>0</v>
      </c>
      <c r="L185" s="3">
        <f>COUNTA(MCQ!$A:$A)-1</f>
        <v>122</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
      </c>
      <c r="B186" s="3">
        <f>IF(ROW()-1&lt;=0,"",IF(ROW()-1&lt;=$L$2,IFERROR(INDEX(MCQ!$A:$K,ROW()-1+1,2),""),IF(ROW()-1&lt;=$L$2+$M$2,IFERROR(INDEX(CLOZE_AB!$A:$K,ROW()-1-$L$2+1,2),""),IF(ROW()-1&lt;=$L$2+$M$2+$N$2,IFERROR(INDEX(CLOZE_LIST!$A:$K,ROW()-1-$L$2-$M$2+1,2),""),IF(ROW()-1&lt;=$L$2+$M$2+$N$2+$O$2,IFERROR(INDEX(PROFORMA!$A:$K,ROW()-1-$L$2-$M$2-$N$2+1,2),""),"")))))</f>
        <v>0</v>
      </c>
      <c r="C186" s="3">
        <f>IF(ROW()-1&lt;=0,"",IF(ROW()-1&lt;=$L$2,IFERROR(INDEX(MCQ!$A:$K,ROW()-1+1,3),""),IF(ROW()-1&lt;=$L$2+$M$2,IFERROR(INDEX(CLOZE_AB!$A:$K,ROW()-1-$L$2+1,3),""),IF(ROW()-1&lt;=$L$2+$M$2+$N$2,IFERROR(INDEX(CLOZE_LIST!$A:$K,ROW()-1-$L$2-$M$2+1,3),""),IF(ROW()-1&lt;=$L$2+$M$2+$N$2+$O$2,IFERROR(INDEX(PROFORMA!$A:$K,ROW()-1-$L$2-$M$2-$N$2+1,3),""),"")))))</f>
        <v>0</v>
      </c>
      <c r="D186" s="3">
        <f>IF(ROW()-1&lt;=0,"",IF(ROW()-1&lt;=$L$2,IFERROR(INDEX(MCQ!$A:$K,ROW()-1+1,4),""),IF(ROW()-1&lt;=$L$2+$M$2,IFERROR(INDEX(CLOZE_AB!$A:$K,ROW()-1-$L$2+1,4),""),IF(ROW()-1&lt;=$L$2+$M$2+$N$2,IFERROR(INDEX(CLOZE_LIST!$A:$K,ROW()-1-$L$2-$M$2+1,4),""),IF(ROW()-1&lt;=$L$2+$M$2+$N$2+$O$2,IFERROR(INDEX(PROFORMA!$A:$K,ROW()-1-$L$2-$M$2-$N$2+1,4),""),"")))))</f>
        <v>0</v>
      </c>
      <c r="E186" s="3">
        <f>IF(ROW()-1&lt;=0,"",IF(ROW()-1&lt;=$L$2,IFERROR(INDEX(MCQ!$A:$K,ROW()-1+1,5),""),IF(ROW()-1&lt;=$L$2+$M$2,IFERROR(INDEX(CLOZE_AB!$A:$K,ROW()-1-$L$2+1,5),""),IF(ROW()-1&lt;=$L$2+$M$2+$N$2,IFERROR(INDEX(CLOZE_LIST!$A:$K,ROW()-1-$L$2-$M$2+1,5),""),IF(ROW()-1&lt;=$L$2+$M$2+$N$2+$O$2,IFERROR(INDEX(PROFORMA!$A:$K,ROW()-1-$L$2-$M$2-$N$2+1,5),""),"")))))</f>
        <v>0</v>
      </c>
      <c r="F186" s="3">
        <f>IF(ROW()-1&lt;=0,"",IF(ROW()-1&lt;=$L$2,IFERROR(INDEX(MCQ!$A:$K,ROW()-1+1,6),""),IF(ROW()-1&lt;=$L$2+$M$2,IFERROR(INDEX(CLOZE_AB!$A:$K,ROW()-1-$L$2+1,6),""),IF(ROW()-1&lt;=$L$2+$M$2+$N$2,IFERROR(INDEX(CLOZE_LIST!$A:$K,ROW()-1-$L$2-$M$2+1,6),""),IF(ROW()-1&lt;=$L$2+$M$2+$N$2+$O$2,IFERROR(INDEX(PROFORMA!$A:$K,ROW()-1-$L$2-$M$2-$N$2+1,6),""),"")))))</f>
        <v>0</v>
      </c>
      <c r="G186" s="3">
        <f>IF(ROW()-1&lt;=0,"",IF(ROW()-1&lt;=$L$2,IFERROR(INDEX(MCQ!$A:$K,ROW()-1+1,7),""),IF(ROW()-1&lt;=$L$2+$M$2,IFERROR(INDEX(CLOZE_AB!$A:$K,ROW()-1-$L$2+1,7),""),IF(ROW()-1&lt;=$L$2+$M$2+$N$2,IFERROR(INDEX(CLOZE_LIST!$A:$K,ROW()-1-$L$2-$M$2+1,7),""),IF(ROW()-1&lt;=$L$2+$M$2+$N$2+$O$2,IFERROR(INDEX(PROFORMA!$A:$K,ROW()-1-$L$2-$M$2-$N$2+1,7),""),"")))))</f>
        <v>0</v>
      </c>
      <c r="H186" s="3">
        <f>IF(ROW()-1&lt;=0,"",IF(ROW()-1&lt;=$L$2,IFERROR(INDEX(MCQ!$A:$K,ROW()-1+1,8),""),IF(ROW()-1&lt;=$L$2+$M$2,IFERROR(INDEX(CLOZE_AB!$A:$K,ROW()-1-$L$2+1,8),""),IF(ROW()-1&lt;=$L$2+$M$2+$N$2,IFERROR(INDEX(CLOZE_LIST!$A:$K,ROW()-1-$L$2-$M$2+1,8),""),IF(ROW()-1&lt;=$L$2+$M$2+$N$2+$O$2,IFERROR(INDEX(PROFORMA!$A:$K,ROW()-1-$L$2-$M$2-$N$2+1,8),""),"")))))</f>
        <v>0</v>
      </c>
      <c r="I186" s="3">
        <f>IF(ROW()-1&lt;=0,"",IF(ROW()-1&lt;=$L$2,IFERROR(INDEX(MCQ!$A:$K,ROW()-1+1,9),""),IF(ROW()-1&lt;=$L$2+$M$2,IFERROR(INDEX(CLOZE_AB!$A:$K,ROW()-1-$L$2+1,9),""),IF(ROW()-1&lt;=$L$2+$M$2+$N$2,IFERROR(INDEX(CLOZE_LIST!$A:$K,ROW()-1-$L$2-$M$2+1,9),""),IF(ROW()-1&lt;=$L$2+$M$2+$N$2+$O$2,IFERROR(INDEX(PROFORMA!$A:$K,ROW()-1-$L$2-$M$2-$N$2+1,9),""),"")))))</f>
        <v>0</v>
      </c>
      <c r="J186" s="3">
        <f>IF(ROW()-1&lt;=0,"",IF(ROW()-1&lt;=$L$2,IFERROR(INDEX(MCQ!$A:$K,ROW()-1+1,10),""),IF(ROW()-1&lt;=$L$2+$M$2,IFERROR(INDEX(CLOZE_AB!$A:$K,ROW()-1-$L$2+1,10),""),IF(ROW()-1&lt;=$L$2+$M$2+$N$2,IFERROR(INDEX(CLOZE_LIST!$A:$K,ROW()-1-$L$2-$M$2+1,10),""),IF(ROW()-1&lt;=$L$2+$M$2+$N$2+$O$2,IFERROR(INDEX(PROFORMA!$A:$K,ROW()-1-$L$2-$M$2-$N$2+1,10),""),"")))))</f>
        <v>0</v>
      </c>
      <c r="K186" s="3">
        <f>IF(ROW()-1&lt;=0,"",IF(ROW()-1&lt;=$L$2,IFERROR(INDEX(MCQ!$A:$K,ROW()-1+1,11),""),IF(ROW()-1&lt;=$L$2+$M$2,IFERROR(INDEX(CLOZE_AB!$A:$K,ROW()-1-$L$2+1,11),""),IF(ROW()-1&lt;=$L$2+$M$2+$N$2,IFERROR(INDEX(CLOZE_LIST!$A:$K,ROW()-1-$L$2-$M$2+1,11),""),IF(ROW()-1&lt;=$L$2+$M$2+$N$2+$O$2,IFERROR(INDEX(PROFORMA!$A:$K,ROW()-1-$L$2-$M$2-$N$2+1,11),""),"")))))</f>
        <v>0</v>
      </c>
      <c r="L186" s="3">
        <f>COUNTA(MCQ!$A:$A)-1</f>
        <v>122</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
      </c>
      <c r="B187" s="3">
        <f>IF(ROW()-1&lt;=0,"",IF(ROW()-1&lt;=$L$2,IFERROR(INDEX(MCQ!$A:$K,ROW()-1+1,2),""),IF(ROW()-1&lt;=$L$2+$M$2,IFERROR(INDEX(CLOZE_AB!$A:$K,ROW()-1-$L$2+1,2),""),IF(ROW()-1&lt;=$L$2+$M$2+$N$2,IFERROR(INDEX(CLOZE_LIST!$A:$K,ROW()-1-$L$2-$M$2+1,2),""),IF(ROW()-1&lt;=$L$2+$M$2+$N$2+$O$2,IFERROR(INDEX(PROFORMA!$A:$K,ROW()-1-$L$2-$M$2-$N$2+1,2),""),"")))))</f>
        <v>0</v>
      </c>
      <c r="C187" s="3">
        <f>IF(ROW()-1&lt;=0,"",IF(ROW()-1&lt;=$L$2,IFERROR(INDEX(MCQ!$A:$K,ROW()-1+1,3),""),IF(ROW()-1&lt;=$L$2+$M$2,IFERROR(INDEX(CLOZE_AB!$A:$K,ROW()-1-$L$2+1,3),""),IF(ROW()-1&lt;=$L$2+$M$2+$N$2,IFERROR(INDEX(CLOZE_LIST!$A:$K,ROW()-1-$L$2-$M$2+1,3),""),IF(ROW()-1&lt;=$L$2+$M$2+$N$2+$O$2,IFERROR(INDEX(PROFORMA!$A:$K,ROW()-1-$L$2-$M$2-$N$2+1,3),""),"")))))</f>
        <v>0</v>
      </c>
      <c r="D187" s="3">
        <f>IF(ROW()-1&lt;=0,"",IF(ROW()-1&lt;=$L$2,IFERROR(INDEX(MCQ!$A:$K,ROW()-1+1,4),""),IF(ROW()-1&lt;=$L$2+$M$2,IFERROR(INDEX(CLOZE_AB!$A:$K,ROW()-1-$L$2+1,4),""),IF(ROW()-1&lt;=$L$2+$M$2+$N$2,IFERROR(INDEX(CLOZE_LIST!$A:$K,ROW()-1-$L$2-$M$2+1,4),""),IF(ROW()-1&lt;=$L$2+$M$2+$N$2+$O$2,IFERROR(INDEX(PROFORMA!$A:$K,ROW()-1-$L$2-$M$2-$N$2+1,4),""),"")))))</f>
        <v>0</v>
      </c>
      <c r="E187" s="3">
        <f>IF(ROW()-1&lt;=0,"",IF(ROW()-1&lt;=$L$2,IFERROR(INDEX(MCQ!$A:$K,ROW()-1+1,5),""),IF(ROW()-1&lt;=$L$2+$M$2,IFERROR(INDEX(CLOZE_AB!$A:$K,ROW()-1-$L$2+1,5),""),IF(ROW()-1&lt;=$L$2+$M$2+$N$2,IFERROR(INDEX(CLOZE_LIST!$A:$K,ROW()-1-$L$2-$M$2+1,5),""),IF(ROW()-1&lt;=$L$2+$M$2+$N$2+$O$2,IFERROR(INDEX(PROFORMA!$A:$K,ROW()-1-$L$2-$M$2-$N$2+1,5),""),"")))))</f>
        <v>0</v>
      </c>
      <c r="F187" s="3">
        <f>IF(ROW()-1&lt;=0,"",IF(ROW()-1&lt;=$L$2,IFERROR(INDEX(MCQ!$A:$K,ROW()-1+1,6),""),IF(ROW()-1&lt;=$L$2+$M$2,IFERROR(INDEX(CLOZE_AB!$A:$K,ROW()-1-$L$2+1,6),""),IF(ROW()-1&lt;=$L$2+$M$2+$N$2,IFERROR(INDEX(CLOZE_LIST!$A:$K,ROW()-1-$L$2-$M$2+1,6),""),IF(ROW()-1&lt;=$L$2+$M$2+$N$2+$O$2,IFERROR(INDEX(PROFORMA!$A:$K,ROW()-1-$L$2-$M$2-$N$2+1,6),""),"")))))</f>
        <v>0</v>
      </c>
      <c r="G187" s="3">
        <f>IF(ROW()-1&lt;=0,"",IF(ROW()-1&lt;=$L$2,IFERROR(INDEX(MCQ!$A:$K,ROW()-1+1,7),""),IF(ROW()-1&lt;=$L$2+$M$2,IFERROR(INDEX(CLOZE_AB!$A:$K,ROW()-1-$L$2+1,7),""),IF(ROW()-1&lt;=$L$2+$M$2+$N$2,IFERROR(INDEX(CLOZE_LIST!$A:$K,ROW()-1-$L$2-$M$2+1,7),""),IF(ROW()-1&lt;=$L$2+$M$2+$N$2+$O$2,IFERROR(INDEX(PROFORMA!$A:$K,ROW()-1-$L$2-$M$2-$N$2+1,7),""),"")))))</f>
        <v>0</v>
      </c>
      <c r="H187" s="3">
        <f>IF(ROW()-1&lt;=0,"",IF(ROW()-1&lt;=$L$2,IFERROR(INDEX(MCQ!$A:$K,ROW()-1+1,8),""),IF(ROW()-1&lt;=$L$2+$M$2,IFERROR(INDEX(CLOZE_AB!$A:$K,ROW()-1-$L$2+1,8),""),IF(ROW()-1&lt;=$L$2+$M$2+$N$2,IFERROR(INDEX(CLOZE_LIST!$A:$K,ROW()-1-$L$2-$M$2+1,8),""),IF(ROW()-1&lt;=$L$2+$M$2+$N$2+$O$2,IFERROR(INDEX(PROFORMA!$A:$K,ROW()-1-$L$2-$M$2-$N$2+1,8),""),"")))))</f>
        <v>0</v>
      </c>
      <c r="I187" s="3">
        <f>IF(ROW()-1&lt;=0,"",IF(ROW()-1&lt;=$L$2,IFERROR(INDEX(MCQ!$A:$K,ROW()-1+1,9),""),IF(ROW()-1&lt;=$L$2+$M$2,IFERROR(INDEX(CLOZE_AB!$A:$K,ROW()-1-$L$2+1,9),""),IF(ROW()-1&lt;=$L$2+$M$2+$N$2,IFERROR(INDEX(CLOZE_LIST!$A:$K,ROW()-1-$L$2-$M$2+1,9),""),IF(ROW()-1&lt;=$L$2+$M$2+$N$2+$O$2,IFERROR(INDEX(PROFORMA!$A:$K,ROW()-1-$L$2-$M$2-$N$2+1,9),""),"")))))</f>
        <v>0</v>
      </c>
      <c r="J187" s="3">
        <f>IF(ROW()-1&lt;=0,"",IF(ROW()-1&lt;=$L$2,IFERROR(INDEX(MCQ!$A:$K,ROW()-1+1,10),""),IF(ROW()-1&lt;=$L$2+$M$2,IFERROR(INDEX(CLOZE_AB!$A:$K,ROW()-1-$L$2+1,10),""),IF(ROW()-1&lt;=$L$2+$M$2+$N$2,IFERROR(INDEX(CLOZE_LIST!$A:$K,ROW()-1-$L$2-$M$2+1,10),""),IF(ROW()-1&lt;=$L$2+$M$2+$N$2+$O$2,IFERROR(INDEX(PROFORMA!$A:$K,ROW()-1-$L$2-$M$2-$N$2+1,10),""),"")))))</f>
        <v>0</v>
      </c>
      <c r="K187" s="3">
        <f>IF(ROW()-1&lt;=0,"",IF(ROW()-1&lt;=$L$2,IFERROR(INDEX(MCQ!$A:$K,ROW()-1+1,11),""),IF(ROW()-1&lt;=$L$2+$M$2,IFERROR(INDEX(CLOZE_AB!$A:$K,ROW()-1-$L$2+1,11),""),IF(ROW()-1&lt;=$L$2+$M$2+$N$2,IFERROR(INDEX(CLOZE_LIST!$A:$K,ROW()-1-$L$2-$M$2+1,11),""),IF(ROW()-1&lt;=$L$2+$M$2+$N$2+$O$2,IFERROR(INDEX(PROFORMA!$A:$K,ROW()-1-$L$2-$M$2-$N$2+1,11),""),"")))))</f>
        <v>0</v>
      </c>
      <c r="L187" s="3">
        <f>COUNTA(MCQ!$A:$A)-1</f>
        <v>122</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
      </c>
      <c r="B188" s="3">
        <f>IF(ROW()-1&lt;=0,"",IF(ROW()-1&lt;=$L$2,IFERROR(INDEX(MCQ!$A:$K,ROW()-1+1,2),""),IF(ROW()-1&lt;=$L$2+$M$2,IFERROR(INDEX(CLOZE_AB!$A:$K,ROW()-1-$L$2+1,2),""),IF(ROW()-1&lt;=$L$2+$M$2+$N$2,IFERROR(INDEX(CLOZE_LIST!$A:$K,ROW()-1-$L$2-$M$2+1,2),""),IF(ROW()-1&lt;=$L$2+$M$2+$N$2+$O$2,IFERROR(INDEX(PROFORMA!$A:$K,ROW()-1-$L$2-$M$2-$N$2+1,2),""),"")))))</f>
        <v>0</v>
      </c>
      <c r="C188" s="3">
        <f>IF(ROW()-1&lt;=0,"",IF(ROW()-1&lt;=$L$2,IFERROR(INDEX(MCQ!$A:$K,ROW()-1+1,3),""),IF(ROW()-1&lt;=$L$2+$M$2,IFERROR(INDEX(CLOZE_AB!$A:$K,ROW()-1-$L$2+1,3),""),IF(ROW()-1&lt;=$L$2+$M$2+$N$2,IFERROR(INDEX(CLOZE_LIST!$A:$K,ROW()-1-$L$2-$M$2+1,3),""),IF(ROW()-1&lt;=$L$2+$M$2+$N$2+$O$2,IFERROR(INDEX(PROFORMA!$A:$K,ROW()-1-$L$2-$M$2-$N$2+1,3),""),"")))))</f>
        <v>0</v>
      </c>
      <c r="D188" s="3">
        <f>IF(ROW()-1&lt;=0,"",IF(ROW()-1&lt;=$L$2,IFERROR(INDEX(MCQ!$A:$K,ROW()-1+1,4),""),IF(ROW()-1&lt;=$L$2+$M$2,IFERROR(INDEX(CLOZE_AB!$A:$K,ROW()-1-$L$2+1,4),""),IF(ROW()-1&lt;=$L$2+$M$2+$N$2,IFERROR(INDEX(CLOZE_LIST!$A:$K,ROW()-1-$L$2-$M$2+1,4),""),IF(ROW()-1&lt;=$L$2+$M$2+$N$2+$O$2,IFERROR(INDEX(PROFORMA!$A:$K,ROW()-1-$L$2-$M$2-$N$2+1,4),""),"")))))</f>
        <v>0</v>
      </c>
      <c r="E188" s="3">
        <f>IF(ROW()-1&lt;=0,"",IF(ROW()-1&lt;=$L$2,IFERROR(INDEX(MCQ!$A:$K,ROW()-1+1,5),""),IF(ROW()-1&lt;=$L$2+$M$2,IFERROR(INDEX(CLOZE_AB!$A:$K,ROW()-1-$L$2+1,5),""),IF(ROW()-1&lt;=$L$2+$M$2+$N$2,IFERROR(INDEX(CLOZE_LIST!$A:$K,ROW()-1-$L$2-$M$2+1,5),""),IF(ROW()-1&lt;=$L$2+$M$2+$N$2+$O$2,IFERROR(INDEX(PROFORMA!$A:$K,ROW()-1-$L$2-$M$2-$N$2+1,5),""),"")))))</f>
        <v>0</v>
      </c>
      <c r="F188" s="3">
        <f>IF(ROW()-1&lt;=0,"",IF(ROW()-1&lt;=$L$2,IFERROR(INDEX(MCQ!$A:$K,ROW()-1+1,6),""),IF(ROW()-1&lt;=$L$2+$M$2,IFERROR(INDEX(CLOZE_AB!$A:$K,ROW()-1-$L$2+1,6),""),IF(ROW()-1&lt;=$L$2+$M$2+$N$2,IFERROR(INDEX(CLOZE_LIST!$A:$K,ROW()-1-$L$2-$M$2+1,6),""),IF(ROW()-1&lt;=$L$2+$M$2+$N$2+$O$2,IFERROR(INDEX(PROFORMA!$A:$K,ROW()-1-$L$2-$M$2-$N$2+1,6),""),"")))))</f>
        <v>0</v>
      </c>
      <c r="G188" s="3">
        <f>IF(ROW()-1&lt;=0,"",IF(ROW()-1&lt;=$L$2,IFERROR(INDEX(MCQ!$A:$K,ROW()-1+1,7),""),IF(ROW()-1&lt;=$L$2+$M$2,IFERROR(INDEX(CLOZE_AB!$A:$K,ROW()-1-$L$2+1,7),""),IF(ROW()-1&lt;=$L$2+$M$2+$N$2,IFERROR(INDEX(CLOZE_LIST!$A:$K,ROW()-1-$L$2-$M$2+1,7),""),IF(ROW()-1&lt;=$L$2+$M$2+$N$2+$O$2,IFERROR(INDEX(PROFORMA!$A:$K,ROW()-1-$L$2-$M$2-$N$2+1,7),""),"")))))</f>
        <v>0</v>
      </c>
      <c r="H188" s="3">
        <f>IF(ROW()-1&lt;=0,"",IF(ROW()-1&lt;=$L$2,IFERROR(INDEX(MCQ!$A:$K,ROW()-1+1,8),""),IF(ROW()-1&lt;=$L$2+$M$2,IFERROR(INDEX(CLOZE_AB!$A:$K,ROW()-1-$L$2+1,8),""),IF(ROW()-1&lt;=$L$2+$M$2+$N$2,IFERROR(INDEX(CLOZE_LIST!$A:$K,ROW()-1-$L$2-$M$2+1,8),""),IF(ROW()-1&lt;=$L$2+$M$2+$N$2+$O$2,IFERROR(INDEX(PROFORMA!$A:$K,ROW()-1-$L$2-$M$2-$N$2+1,8),""),"")))))</f>
        <v>0</v>
      </c>
      <c r="I188" s="3">
        <f>IF(ROW()-1&lt;=0,"",IF(ROW()-1&lt;=$L$2,IFERROR(INDEX(MCQ!$A:$K,ROW()-1+1,9),""),IF(ROW()-1&lt;=$L$2+$M$2,IFERROR(INDEX(CLOZE_AB!$A:$K,ROW()-1-$L$2+1,9),""),IF(ROW()-1&lt;=$L$2+$M$2+$N$2,IFERROR(INDEX(CLOZE_LIST!$A:$K,ROW()-1-$L$2-$M$2+1,9),""),IF(ROW()-1&lt;=$L$2+$M$2+$N$2+$O$2,IFERROR(INDEX(PROFORMA!$A:$K,ROW()-1-$L$2-$M$2-$N$2+1,9),""),"")))))</f>
        <v>0</v>
      </c>
      <c r="J188" s="3">
        <f>IF(ROW()-1&lt;=0,"",IF(ROW()-1&lt;=$L$2,IFERROR(INDEX(MCQ!$A:$K,ROW()-1+1,10),""),IF(ROW()-1&lt;=$L$2+$M$2,IFERROR(INDEX(CLOZE_AB!$A:$K,ROW()-1-$L$2+1,10),""),IF(ROW()-1&lt;=$L$2+$M$2+$N$2,IFERROR(INDEX(CLOZE_LIST!$A:$K,ROW()-1-$L$2-$M$2+1,10),""),IF(ROW()-1&lt;=$L$2+$M$2+$N$2+$O$2,IFERROR(INDEX(PROFORMA!$A:$K,ROW()-1-$L$2-$M$2-$N$2+1,10),""),"")))))</f>
        <v>0</v>
      </c>
      <c r="K188" s="3">
        <f>IF(ROW()-1&lt;=0,"",IF(ROW()-1&lt;=$L$2,IFERROR(INDEX(MCQ!$A:$K,ROW()-1+1,11),""),IF(ROW()-1&lt;=$L$2+$M$2,IFERROR(INDEX(CLOZE_AB!$A:$K,ROW()-1-$L$2+1,11),""),IF(ROW()-1&lt;=$L$2+$M$2+$N$2,IFERROR(INDEX(CLOZE_LIST!$A:$K,ROW()-1-$L$2-$M$2+1,11),""),IF(ROW()-1&lt;=$L$2+$M$2+$N$2+$O$2,IFERROR(INDEX(PROFORMA!$A:$K,ROW()-1-$L$2-$M$2-$N$2+1,11),""),"")))))</f>
        <v>0</v>
      </c>
      <c r="L188" s="3">
        <f>COUNTA(MCQ!$A:$A)-1</f>
        <v>122</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
      </c>
      <c r="B189" s="3">
        <f>IF(ROW()-1&lt;=0,"",IF(ROW()-1&lt;=$L$2,IFERROR(INDEX(MCQ!$A:$K,ROW()-1+1,2),""),IF(ROW()-1&lt;=$L$2+$M$2,IFERROR(INDEX(CLOZE_AB!$A:$K,ROW()-1-$L$2+1,2),""),IF(ROW()-1&lt;=$L$2+$M$2+$N$2,IFERROR(INDEX(CLOZE_LIST!$A:$K,ROW()-1-$L$2-$M$2+1,2),""),IF(ROW()-1&lt;=$L$2+$M$2+$N$2+$O$2,IFERROR(INDEX(PROFORMA!$A:$K,ROW()-1-$L$2-$M$2-$N$2+1,2),""),"")))))</f>
        <v>0</v>
      </c>
      <c r="C189" s="3">
        <f>IF(ROW()-1&lt;=0,"",IF(ROW()-1&lt;=$L$2,IFERROR(INDEX(MCQ!$A:$K,ROW()-1+1,3),""),IF(ROW()-1&lt;=$L$2+$M$2,IFERROR(INDEX(CLOZE_AB!$A:$K,ROW()-1-$L$2+1,3),""),IF(ROW()-1&lt;=$L$2+$M$2+$N$2,IFERROR(INDEX(CLOZE_LIST!$A:$K,ROW()-1-$L$2-$M$2+1,3),""),IF(ROW()-1&lt;=$L$2+$M$2+$N$2+$O$2,IFERROR(INDEX(PROFORMA!$A:$K,ROW()-1-$L$2-$M$2-$N$2+1,3),""),"")))))</f>
        <v>0</v>
      </c>
      <c r="D189" s="3">
        <f>IF(ROW()-1&lt;=0,"",IF(ROW()-1&lt;=$L$2,IFERROR(INDEX(MCQ!$A:$K,ROW()-1+1,4),""),IF(ROW()-1&lt;=$L$2+$M$2,IFERROR(INDEX(CLOZE_AB!$A:$K,ROW()-1-$L$2+1,4),""),IF(ROW()-1&lt;=$L$2+$M$2+$N$2,IFERROR(INDEX(CLOZE_LIST!$A:$K,ROW()-1-$L$2-$M$2+1,4),""),IF(ROW()-1&lt;=$L$2+$M$2+$N$2+$O$2,IFERROR(INDEX(PROFORMA!$A:$K,ROW()-1-$L$2-$M$2-$N$2+1,4),""),"")))))</f>
        <v>0</v>
      </c>
      <c r="E189" s="3">
        <f>IF(ROW()-1&lt;=0,"",IF(ROW()-1&lt;=$L$2,IFERROR(INDEX(MCQ!$A:$K,ROW()-1+1,5),""),IF(ROW()-1&lt;=$L$2+$M$2,IFERROR(INDEX(CLOZE_AB!$A:$K,ROW()-1-$L$2+1,5),""),IF(ROW()-1&lt;=$L$2+$M$2+$N$2,IFERROR(INDEX(CLOZE_LIST!$A:$K,ROW()-1-$L$2-$M$2+1,5),""),IF(ROW()-1&lt;=$L$2+$M$2+$N$2+$O$2,IFERROR(INDEX(PROFORMA!$A:$K,ROW()-1-$L$2-$M$2-$N$2+1,5),""),"")))))</f>
        <v>0</v>
      </c>
      <c r="F189" s="3">
        <f>IF(ROW()-1&lt;=0,"",IF(ROW()-1&lt;=$L$2,IFERROR(INDEX(MCQ!$A:$K,ROW()-1+1,6),""),IF(ROW()-1&lt;=$L$2+$M$2,IFERROR(INDEX(CLOZE_AB!$A:$K,ROW()-1-$L$2+1,6),""),IF(ROW()-1&lt;=$L$2+$M$2+$N$2,IFERROR(INDEX(CLOZE_LIST!$A:$K,ROW()-1-$L$2-$M$2+1,6),""),IF(ROW()-1&lt;=$L$2+$M$2+$N$2+$O$2,IFERROR(INDEX(PROFORMA!$A:$K,ROW()-1-$L$2-$M$2-$N$2+1,6),""),"")))))</f>
        <v>0</v>
      </c>
      <c r="G189" s="3">
        <f>IF(ROW()-1&lt;=0,"",IF(ROW()-1&lt;=$L$2,IFERROR(INDEX(MCQ!$A:$K,ROW()-1+1,7),""),IF(ROW()-1&lt;=$L$2+$M$2,IFERROR(INDEX(CLOZE_AB!$A:$K,ROW()-1-$L$2+1,7),""),IF(ROW()-1&lt;=$L$2+$M$2+$N$2,IFERROR(INDEX(CLOZE_LIST!$A:$K,ROW()-1-$L$2-$M$2+1,7),""),IF(ROW()-1&lt;=$L$2+$M$2+$N$2+$O$2,IFERROR(INDEX(PROFORMA!$A:$K,ROW()-1-$L$2-$M$2-$N$2+1,7),""),"")))))</f>
        <v>0</v>
      </c>
      <c r="H189" s="3">
        <f>IF(ROW()-1&lt;=0,"",IF(ROW()-1&lt;=$L$2,IFERROR(INDEX(MCQ!$A:$K,ROW()-1+1,8),""),IF(ROW()-1&lt;=$L$2+$M$2,IFERROR(INDEX(CLOZE_AB!$A:$K,ROW()-1-$L$2+1,8),""),IF(ROW()-1&lt;=$L$2+$M$2+$N$2,IFERROR(INDEX(CLOZE_LIST!$A:$K,ROW()-1-$L$2-$M$2+1,8),""),IF(ROW()-1&lt;=$L$2+$M$2+$N$2+$O$2,IFERROR(INDEX(PROFORMA!$A:$K,ROW()-1-$L$2-$M$2-$N$2+1,8),""),"")))))</f>
        <v>0</v>
      </c>
      <c r="I189" s="3">
        <f>IF(ROW()-1&lt;=0,"",IF(ROW()-1&lt;=$L$2,IFERROR(INDEX(MCQ!$A:$K,ROW()-1+1,9),""),IF(ROW()-1&lt;=$L$2+$M$2,IFERROR(INDEX(CLOZE_AB!$A:$K,ROW()-1-$L$2+1,9),""),IF(ROW()-1&lt;=$L$2+$M$2+$N$2,IFERROR(INDEX(CLOZE_LIST!$A:$K,ROW()-1-$L$2-$M$2+1,9),""),IF(ROW()-1&lt;=$L$2+$M$2+$N$2+$O$2,IFERROR(INDEX(PROFORMA!$A:$K,ROW()-1-$L$2-$M$2-$N$2+1,9),""),"")))))</f>
        <v>0</v>
      </c>
      <c r="J189" s="3">
        <f>IF(ROW()-1&lt;=0,"",IF(ROW()-1&lt;=$L$2,IFERROR(INDEX(MCQ!$A:$K,ROW()-1+1,10),""),IF(ROW()-1&lt;=$L$2+$M$2,IFERROR(INDEX(CLOZE_AB!$A:$K,ROW()-1-$L$2+1,10),""),IF(ROW()-1&lt;=$L$2+$M$2+$N$2,IFERROR(INDEX(CLOZE_LIST!$A:$K,ROW()-1-$L$2-$M$2+1,10),""),IF(ROW()-1&lt;=$L$2+$M$2+$N$2+$O$2,IFERROR(INDEX(PROFORMA!$A:$K,ROW()-1-$L$2-$M$2-$N$2+1,10),""),"")))))</f>
        <v>0</v>
      </c>
      <c r="K189" s="3">
        <f>IF(ROW()-1&lt;=0,"",IF(ROW()-1&lt;=$L$2,IFERROR(INDEX(MCQ!$A:$K,ROW()-1+1,11),""),IF(ROW()-1&lt;=$L$2+$M$2,IFERROR(INDEX(CLOZE_AB!$A:$K,ROW()-1-$L$2+1,11),""),IF(ROW()-1&lt;=$L$2+$M$2+$N$2,IFERROR(INDEX(CLOZE_LIST!$A:$K,ROW()-1-$L$2-$M$2+1,11),""),IF(ROW()-1&lt;=$L$2+$M$2+$N$2+$O$2,IFERROR(INDEX(PROFORMA!$A:$K,ROW()-1-$L$2-$M$2-$N$2+1,11),""),"")))))</f>
        <v>0</v>
      </c>
      <c r="L189" s="3">
        <f>COUNTA(MCQ!$A:$A)-1</f>
        <v>122</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f>IF(ROW()-1&lt;=0,"",IF(ROW()-1&lt;=$L$2,IFERROR(INDEX(MCQ!$A:$K,ROW()-1+1,5),""),IF(ROW()-1&lt;=$L$2+$M$2,IFERROR(INDEX(CLOZE_AB!$A:$K,ROW()-1-$L$2+1,5),""),IF(ROW()-1&lt;=$L$2+$M$2+$N$2,IFERROR(INDEX(CLOZE_LIST!$A:$K,ROW()-1-$L$2-$M$2+1,5),""),IF(ROW()-1&lt;=$L$2+$M$2+$N$2+$O$2,IFERROR(INDEX(PROFORMA!$A:$K,ROW()-1-$L$2-$M$2-$N$2+1,5),""),"")))))</f>
        <v>0</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122</v>
      </c>
      <c r="M190" s="3">
        <f>COUNTA(CLOZE_AB!$A:$A)-1</f>
        <v>168</v>
      </c>
      <c r="N190" s="3">
        <f>COUNTA(CLOZE_LIST!$A:$A)-1</f>
        <v>199</v>
      </c>
      <c r="O190" s="3">
        <f>COUNTA(PROFORMA!$A:$A)-1</f>
        <v>199</v>
      </c>
    </row>
    <row r="191" spans="1:15" ht="28.8"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122</v>
      </c>
      <c r="M191" s="3">
        <f>COUNTA(CLOZE_AB!$A:$A)-1</f>
        <v>168</v>
      </c>
      <c r="N191" s="3">
        <f>COUNTA(CLOZE_LIST!$A:$A)-1</f>
        <v>199</v>
      </c>
      <c r="O191" s="3">
        <f>COUNTA(PROFORMA!$A:$A)-1</f>
        <v>199</v>
      </c>
    </row>
    <row r="192" spans="1:15" ht="28.8"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122</v>
      </c>
      <c r="M192" s="3">
        <f>COUNTA(CLOZE_AB!$A:$A)-1</f>
        <v>168</v>
      </c>
      <c r="N192" s="3">
        <f>COUNTA(CLOZE_LIST!$A:$A)-1</f>
        <v>199</v>
      </c>
      <c r="O192" s="3">
        <f>COUNTA(PROFORMA!$A:$A)-1</f>
        <v>199</v>
      </c>
    </row>
    <row r="193" spans="1:15" ht="28.8"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122</v>
      </c>
      <c r="M193" s="3">
        <f>COUNTA(CLOZE_AB!$A:$A)-1</f>
        <v>168</v>
      </c>
      <c r="N193" s="3">
        <f>COUNTA(CLOZE_LIST!$A:$A)-1</f>
        <v>199</v>
      </c>
      <c r="O193" s="3">
        <f>COUNTA(PROFORMA!$A:$A)-1</f>
        <v>199</v>
      </c>
    </row>
    <row r="194" spans="1:15" ht="28.8"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122</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122</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122</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122</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122</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122</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122</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122</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122</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122</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122</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122</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122</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122</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122</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122</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122</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122</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122</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122</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122</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122</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122</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122</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122</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122</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122</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122</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122</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122</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122</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122</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122</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122</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122</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122</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122</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122</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122</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122</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122</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122</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122</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122</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122</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122</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122</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122</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122</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122</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122</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122</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122</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122</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122</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122</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122</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122</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122</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122</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122</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122</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122</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122</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122</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122</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122</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122</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122</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122</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122</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122</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122</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122</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122</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122</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122</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122</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122</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122</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122</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122</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122</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122</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122</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122</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122</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122</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122</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122</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122</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122</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122</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122</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122</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122</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122</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122</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LIST_ITNIC_REQ_EIS_001</v>
      </c>
      <c r="B292" s="3" t="str">
        <f>IF(ROW()-1&lt;=0,"",IF(ROW()-1&lt;=$L$2,IFERROR(INDEX(MCQ!$A:$K,ROW()-1+1,2),""),IF(ROW()-1&lt;=$L$2+$M$2,IFERROR(INDEX(CLOZE_AB!$A:$K,ROW()-1-$L$2+1,2),""),IF(ROW()-1&lt;=$L$2+$M$2+$N$2,IFERROR(INDEX(CLOZE_LIST!$A:$K,ROW()-1-$L$2-$M$2+1,2),""),IF(ROW()-1&lt;=$L$2+$M$2+$N$2+$O$2,IFERROR(INDEX(PROFORMA!$A:$K,ROW()-1-$L$2-$M$2-$N$2+1,2),""),"")))))</f>
        <v>Income tax &amp; NIC</v>
      </c>
      <c r="C292" s="3" t="str">
        <f>IF(ROW()-1&lt;=0,"",IF(ROW()-1&lt;=$L$2,IFERROR(INDEX(MCQ!$A:$K,ROW()-1+1,3),""),IF(ROW()-1&lt;=$L$2+$M$2,IFERROR(INDEX(CLOZE_AB!$A:$K,ROW()-1-$L$2+1,3),""),IF(ROW()-1&lt;=$L$2+$M$2+$N$2,IFERROR(INDEX(CLOZE_LIST!$A:$K,ROW()-1-$L$2-$M$2+1,3),""),IF(ROW()-1&lt;=$L$2+$M$2+$N$2+$O$2,IFERROR(INDEX(PROFORMA!$A:$K,ROW()-1-$L$2-$M$2-$N$2+1,3),""),"")))))</f>
        <v>requirements</v>
      </c>
      <c r="D292" s="3" t="str">
        <f>IF(ROW()-1&lt;=0,"",IF(ROW()-1&lt;=$L$2,IFERROR(INDEX(MCQ!$A:$K,ROW()-1+1,4),""),IF(ROW()-1&lt;=$L$2+$M$2,IFERROR(INDEX(CLOZE_AB!$A:$K,ROW()-1-$L$2+1,4),""),IF(ROW()-1&lt;=$L$2+$M$2+$N$2,IFERROR(INDEX(CLOZE_LIST!$A:$K,ROW()-1-$L$2-$M$2+1,4),""),IF(ROW()-1&lt;=$L$2+$M$2+$N$2+$O$2,IFERROR(INDEX(PROFORMA!$A:$K,ROW()-1-$L$2-$M$2-$N$2+1,4),""),"")))))</f>
        <v>Tax efficient investments</v>
      </c>
      <c r="E292" s="3" t="str">
        <f>IF(ROW()-1&lt;=0,"",IF(ROW()-1&lt;=$L$2,IFERROR(INDEX(MCQ!$A:$K,ROW()-1+1,5),""),IF(ROW()-1&lt;=$L$2+$M$2,IFERROR(INDEX(CLOZE_AB!$A:$K,ROW()-1-$L$2+1,5),""),IF(ROW()-1&lt;=$L$2+$M$2+$N$2,IFERROR(INDEX(CLOZE_LIST!$A:$K,ROW()-1-$L$2-$M$2+1,5),""),IF(ROW()-1&lt;=$L$2+$M$2+$N$2+$O$2,IFERROR(INDEX(PROFORMA!$A:$K,ROW()-1-$L$2-$M$2-$N$2+1,5),""),"")))))</f>
        <v>cloze_list</v>
      </c>
      <c r="F292" s="3">
        <f>IF(ROW()-1&lt;=0,"",IF(ROW()-1&lt;=$L$2,IFERROR(INDEX(MCQ!$A:$K,ROW()-1+1,6),""),IF(ROW()-1&lt;=$L$2+$M$2,IFERROR(INDEX(CLOZE_AB!$A:$K,ROW()-1-$L$2+1,6),""),IF(ROW()-1&lt;=$L$2+$M$2+$N$2,IFERROR(INDEX(CLOZE_LIST!$A:$K,ROW()-1-$L$2-$M$2+1,6),""),IF(ROW()-1&lt;=$L$2+$M$2+$N$2+$O$2,IFERROR(INDEX(PROFORMA!$A:$K,ROW()-1-$L$2-$M$2-$N$2+1,6),""),"")))))</f>
        <v>3</v>
      </c>
      <c r="G292" s="3" t="str">
        <f>IF(ROW()-1&lt;=0,"",IF(ROW()-1&lt;=$L$2,IFERROR(INDEX(MCQ!$A:$K,ROW()-1+1,7),""),IF(ROW()-1&lt;=$L$2+$M$2,IFERROR(INDEX(CLOZE_AB!$A:$K,ROW()-1-$L$2+1,7),""),IF(ROW()-1&lt;=$L$2+$M$2+$N$2,IFERROR(INDEX(CLOZE_LIST!$A:$K,ROW()-1-$L$2-$M$2+1,7),""),IF(ROW()-1&lt;=$L$2+$M$2+$N$2+$O$2,IFERROR(INDEX(PROFORMA!$A:$K,ROW()-1-$L$2-$M$2-$N$2+1,7),""),"")))))</f>
        <v>core</v>
      </c>
      <c r="H292" s="3" t="str">
        <f>IF(ROW()-1&lt;=0,"",IF(ROW()-1&lt;=$L$2,IFERROR(INDEX(MCQ!$A:$K,ROW()-1+1,8),""),IF(ROW()-1&lt;=$L$2+$M$2,IFERROR(INDEX(CLOZE_AB!$A:$K,ROW()-1-$L$2+1,8),""),IF(ROW()-1&lt;=$L$2+$M$2+$N$2,IFERROR(INDEX(CLOZE_LIST!$A:$K,ROW()-1-$L$2-$M$2+1,8),""),IF(ROW()-1&lt;=$L$2+$M$2+$N$2+$O$2,IFERROR(INDEX(PROFORMA!$A:$K,ROW()-1-$L$2-$M$2-$N$2+1,8),""),"")))))</f>
        <v>Y</v>
      </c>
      <c r="I292" s="3" t="str">
        <f>IF(ROW()-1&lt;=0,"",IF(ROW()-1&lt;=$L$2,IFERROR(INDEX(MCQ!$A:$K,ROW()-1+1,9),""),IF(ROW()-1&lt;=$L$2+$M$2,IFERROR(INDEX(CLOZE_AB!$A:$K,ROW()-1-$L$2+1,9),""),IF(ROW()-1&lt;=$L$2+$M$2+$N$2,IFERROR(INDEX(CLOZE_LIST!$A:$K,ROW()-1-$L$2-$M$2+1,9),""),IF(ROW()-1&lt;=$L$2+$M$2+$N$2+$O$2,IFERROR(INDEX(PROFORMA!$A:$K,ROW()-1-$L$2-$M$2-$N$2+1,9),""),"")))))</f>
        <v>eis;seis;vct</v>
      </c>
      <c r="J292" s="3" t="str">
        <f>IF(ROW()-1&lt;=0,"",IF(ROW()-1&lt;=$L$2,IFERROR(INDEX(MCQ!$A:$K,ROW()-1+1,10),""),IF(ROW()-1&lt;=$L$2+$M$2,IFERROR(INDEX(CLOZE_AB!$A:$K,ROW()-1-$L$2+1,10),""),IF(ROW()-1&lt;=$L$2+$M$2+$N$2,IFERROR(INDEX(CLOZE_LIST!$A:$K,ROW()-1-$L$2-$M$2+1,10),""),IF(ROW()-1&lt;=$L$2+$M$2+$N$2+$O$2,IFERROR(INDEX(PROFORMA!$A:$K,ROW()-1-$L$2-$M$2-$N$2+1,10),""),"")))))</f>
        <v>notes</v>
      </c>
      <c r="K292" s="3">
        <f>IF(ROW()-1&lt;=0,"",IF(ROW()-1&lt;=$L$2,IFERROR(INDEX(MCQ!$A:$K,ROW()-1+1,11),""),IF(ROW()-1&lt;=$L$2+$M$2,IFERROR(INDEX(CLOZE_AB!$A:$K,ROW()-1-$L$2+1,11),""),IF(ROW()-1&lt;=$L$2+$M$2+$N$2,IFERROR(INDEX(CLOZE_LIST!$A:$K,ROW()-1-$L$2-$M$2+1,11),""),IF(ROW()-1&lt;=$L$2+$M$2+$N$2+$O$2,IFERROR(INDEX(PROFORMA!$A:$K,ROW()-1-$L$2-$M$2-$N$2+1,11),""),"")))))</f>
        <v>1</v>
      </c>
      <c r="L292" s="3">
        <f>COUNTA(MCQ!$A:$A)-1</f>
        <v>122</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LIST_ITNIC_REQ_EIS_002</v>
      </c>
      <c r="B293" s="3" t="str">
        <f>IF(ROW()-1&lt;=0,"",IF(ROW()-1&lt;=$L$2,IFERROR(INDEX(MCQ!$A:$K,ROW()-1+1,2),""),IF(ROW()-1&lt;=$L$2+$M$2,IFERROR(INDEX(CLOZE_AB!$A:$K,ROW()-1-$L$2+1,2),""),IF(ROW()-1&lt;=$L$2+$M$2+$N$2,IFERROR(INDEX(CLOZE_LIST!$A:$K,ROW()-1-$L$2-$M$2+1,2),""),IF(ROW()-1&lt;=$L$2+$M$2+$N$2+$O$2,IFERROR(INDEX(PROFORMA!$A:$K,ROW()-1-$L$2-$M$2-$N$2+1,2),""),"")))))</f>
        <v>Income tax &amp; NIC</v>
      </c>
      <c r="C293" s="3" t="str">
        <f>IF(ROW()-1&lt;=0,"",IF(ROW()-1&lt;=$L$2,IFERROR(INDEX(MCQ!$A:$K,ROW()-1+1,3),""),IF(ROW()-1&lt;=$L$2+$M$2,IFERROR(INDEX(CLOZE_AB!$A:$K,ROW()-1-$L$2+1,3),""),IF(ROW()-1&lt;=$L$2+$M$2+$N$2,IFERROR(INDEX(CLOZE_LIST!$A:$K,ROW()-1-$L$2-$M$2+1,3),""),IF(ROW()-1&lt;=$L$2+$M$2+$N$2+$O$2,IFERROR(INDEX(PROFORMA!$A:$K,ROW()-1-$L$2-$M$2-$N$2+1,3),""),"")))))</f>
        <v>requirements</v>
      </c>
      <c r="D293" s="3" t="str">
        <f>IF(ROW()-1&lt;=0,"",IF(ROW()-1&lt;=$L$2,IFERROR(INDEX(MCQ!$A:$K,ROW()-1+1,4),""),IF(ROW()-1&lt;=$L$2+$M$2,IFERROR(INDEX(CLOZE_AB!$A:$K,ROW()-1-$L$2+1,4),""),IF(ROW()-1&lt;=$L$2+$M$2+$N$2,IFERROR(INDEX(CLOZE_LIST!$A:$K,ROW()-1-$L$2-$M$2+1,4),""),IF(ROW()-1&lt;=$L$2+$M$2+$N$2+$O$2,IFERROR(INDEX(PROFORMA!$A:$K,ROW()-1-$L$2-$M$2-$N$2+1,4),""),"")))))</f>
        <v>Tax efficient investments</v>
      </c>
      <c r="E293" s="3" t="str">
        <f>IF(ROW()-1&lt;=0,"",IF(ROW()-1&lt;=$L$2,IFERROR(INDEX(MCQ!$A:$K,ROW()-1+1,5),""),IF(ROW()-1&lt;=$L$2+$M$2,IFERROR(INDEX(CLOZE_AB!$A:$K,ROW()-1-$L$2+1,5),""),IF(ROW()-1&lt;=$L$2+$M$2+$N$2,IFERROR(INDEX(CLOZE_LIST!$A:$K,ROW()-1-$L$2-$M$2+1,5),""),IF(ROW()-1&lt;=$L$2+$M$2+$N$2+$O$2,IFERROR(INDEX(PROFORMA!$A:$K,ROW()-1-$L$2-$M$2-$N$2+1,5),""),"")))))</f>
        <v>cloze_list</v>
      </c>
      <c r="F293" s="3">
        <f>IF(ROW()-1&lt;=0,"",IF(ROW()-1&lt;=$L$2,IFERROR(INDEX(MCQ!$A:$K,ROW()-1+1,6),""),IF(ROW()-1&lt;=$L$2+$M$2,IFERROR(INDEX(CLOZE_AB!$A:$K,ROW()-1-$L$2+1,6),""),IF(ROW()-1&lt;=$L$2+$M$2+$N$2,IFERROR(INDEX(CLOZE_LIST!$A:$K,ROW()-1-$L$2-$M$2+1,6),""),IF(ROW()-1&lt;=$L$2+$M$2+$N$2+$O$2,IFERROR(INDEX(PROFORMA!$A:$K,ROW()-1-$L$2-$M$2-$N$2+1,6),""),"")))))</f>
        <v>3</v>
      </c>
      <c r="G293" s="3" t="str">
        <f>IF(ROW()-1&lt;=0,"",IF(ROW()-1&lt;=$L$2,IFERROR(INDEX(MCQ!$A:$K,ROW()-1+1,7),""),IF(ROW()-1&lt;=$L$2+$M$2,IFERROR(INDEX(CLOZE_AB!$A:$K,ROW()-1-$L$2+1,7),""),IF(ROW()-1&lt;=$L$2+$M$2+$N$2,IFERROR(INDEX(CLOZE_LIST!$A:$K,ROW()-1-$L$2-$M$2+1,7),""),IF(ROW()-1&lt;=$L$2+$M$2+$N$2+$O$2,IFERROR(INDEX(PROFORMA!$A:$K,ROW()-1-$L$2-$M$2-$N$2+1,7),""),"")))))</f>
        <v>core</v>
      </c>
      <c r="H293" s="3" t="str">
        <f>IF(ROW()-1&lt;=0,"",IF(ROW()-1&lt;=$L$2,IFERROR(INDEX(MCQ!$A:$K,ROW()-1+1,8),""),IF(ROW()-1&lt;=$L$2+$M$2,IFERROR(INDEX(CLOZE_AB!$A:$K,ROW()-1-$L$2+1,8),""),IF(ROW()-1&lt;=$L$2+$M$2+$N$2,IFERROR(INDEX(CLOZE_LIST!$A:$K,ROW()-1-$L$2-$M$2+1,8),""),IF(ROW()-1&lt;=$L$2+$M$2+$N$2+$O$2,IFERROR(INDEX(PROFORMA!$A:$K,ROW()-1-$L$2-$M$2-$N$2+1,8),""),"")))))</f>
        <v>Y</v>
      </c>
      <c r="I293" s="3" t="str">
        <f>IF(ROW()-1&lt;=0,"",IF(ROW()-1&lt;=$L$2,IFERROR(INDEX(MCQ!$A:$K,ROW()-1+1,9),""),IF(ROW()-1&lt;=$L$2+$M$2,IFERROR(INDEX(CLOZE_AB!$A:$K,ROW()-1-$L$2+1,9),""),IF(ROW()-1&lt;=$L$2+$M$2+$N$2,IFERROR(INDEX(CLOZE_LIST!$A:$K,ROW()-1-$L$2-$M$2+1,9),""),IF(ROW()-1&lt;=$L$2+$M$2+$N$2+$O$2,IFERROR(INDEX(PROFORMA!$A:$K,ROW()-1-$L$2-$M$2-$N$2+1,9),""),"")))))</f>
        <v>eis;seis;vct</v>
      </c>
      <c r="J293" s="3" t="str">
        <f>IF(ROW()-1&lt;=0,"",IF(ROW()-1&lt;=$L$2,IFERROR(INDEX(MCQ!$A:$K,ROW()-1+1,10),""),IF(ROW()-1&lt;=$L$2+$M$2,IFERROR(INDEX(CLOZE_AB!$A:$K,ROW()-1-$L$2+1,10),""),IF(ROW()-1&lt;=$L$2+$M$2+$N$2,IFERROR(INDEX(CLOZE_LIST!$A:$K,ROW()-1-$L$2-$M$2+1,10),""),IF(ROW()-1&lt;=$L$2+$M$2+$N$2+$O$2,IFERROR(INDEX(PROFORMA!$A:$K,ROW()-1-$L$2-$M$2-$N$2+1,10),""),"")))))</f>
        <v>notes</v>
      </c>
      <c r="K293" s="3">
        <f>IF(ROW()-1&lt;=0,"",IF(ROW()-1&lt;=$L$2,IFERROR(INDEX(MCQ!$A:$K,ROW()-1+1,11),""),IF(ROW()-1&lt;=$L$2+$M$2,IFERROR(INDEX(CLOZE_AB!$A:$K,ROW()-1-$L$2+1,11),""),IF(ROW()-1&lt;=$L$2+$M$2+$N$2,IFERROR(INDEX(CLOZE_LIST!$A:$K,ROW()-1-$L$2-$M$2+1,11),""),IF(ROW()-1&lt;=$L$2+$M$2+$N$2+$O$2,IFERROR(INDEX(PROFORMA!$A:$K,ROW()-1-$L$2-$M$2-$N$2+1,11),""),"")))))</f>
        <v>1</v>
      </c>
      <c r="L293" s="3">
        <f>COUNTA(MCQ!$A:$A)-1</f>
        <v>122</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LIST_ITNIC_REQ_PSC_001</v>
      </c>
      <c r="B294" s="3" t="str">
        <f>IF(ROW()-1&lt;=0,"",IF(ROW()-1&lt;=$L$2,IFERROR(INDEX(MCQ!$A:$K,ROW()-1+1,2),""),IF(ROW()-1&lt;=$L$2+$M$2,IFERROR(INDEX(CLOZE_AB!$A:$K,ROW()-1-$L$2+1,2),""),IF(ROW()-1&lt;=$L$2+$M$2+$N$2,IFERROR(INDEX(CLOZE_LIST!$A:$K,ROW()-1-$L$2-$M$2+1,2),""),IF(ROW()-1&lt;=$L$2+$M$2+$N$2+$O$2,IFERROR(INDEX(PROFORMA!$A:$K,ROW()-1-$L$2-$M$2-$N$2+1,2),""),"")))))</f>
        <v>Income tax &amp; NIC</v>
      </c>
      <c r="C294" s="3" t="str">
        <f>IF(ROW()-1&lt;=0,"",IF(ROW()-1&lt;=$L$2,IFERROR(INDEX(MCQ!$A:$K,ROW()-1+1,3),""),IF(ROW()-1&lt;=$L$2+$M$2,IFERROR(INDEX(CLOZE_AB!$A:$K,ROW()-1-$L$2+1,3),""),IF(ROW()-1&lt;=$L$2+$M$2+$N$2,IFERROR(INDEX(CLOZE_LIST!$A:$K,ROW()-1-$L$2-$M$2+1,3),""),IF(ROW()-1&lt;=$L$2+$M$2+$N$2+$O$2,IFERROR(INDEX(PROFORMA!$A:$K,ROW()-1-$L$2-$M$2-$N$2+1,3),""),"")))))</f>
        <v>requirements</v>
      </c>
      <c r="D294" s="3" t="str">
        <f>IF(ROW()-1&lt;=0,"",IF(ROW()-1&lt;=$L$2,IFERROR(INDEX(MCQ!$A:$K,ROW()-1+1,4),""),IF(ROW()-1&lt;=$L$2+$M$2,IFERROR(INDEX(CLOZE_AB!$A:$K,ROW()-1-$L$2+1,4),""),IF(ROW()-1&lt;=$L$2+$M$2+$N$2,IFERROR(INDEX(CLOZE_LIST!$A:$K,ROW()-1-$L$2-$M$2+1,4),""),IF(ROW()-1&lt;=$L$2+$M$2+$N$2+$O$2,IFERROR(INDEX(PROFORMA!$A:$K,ROW()-1-$L$2-$M$2-$N$2+1,4),""),"")))))</f>
        <v>Personal service companies and IR35</v>
      </c>
      <c r="E294" s="3" t="str">
        <f>IF(ROW()-1&lt;=0,"",IF(ROW()-1&lt;=$L$2,IFERROR(INDEX(MCQ!$A:$K,ROW()-1+1,5),""),IF(ROW()-1&lt;=$L$2+$M$2,IFERROR(INDEX(CLOZE_AB!$A:$K,ROW()-1-$L$2+1,5),""),IF(ROW()-1&lt;=$L$2+$M$2+$N$2,IFERROR(INDEX(CLOZE_LIST!$A:$K,ROW()-1-$L$2-$M$2+1,5),""),IF(ROW()-1&lt;=$L$2+$M$2+$N$2+$O$2,IFERROR(INDEX(PROFORMA!$A:$K,ROW()-1-$L$2-$M$2-$N$2+1,5),""),"")))))</f>
        <v>cloze_list</v>
      </c>
      <c r="F294" s="3">
        <f>IF(ROW()-1&lt;=0,"",IF(ROW()-1&lt;=$L$2,IFERROR(INDEX(MCQ!$A:$K,ROW()-1+1,6),""),IF(ROW()-1&lt;=$L$2+$M$2,IFERROR(INDEX(CLOZE_AB!$A:$K,ROW()-1-$L$2+1,6),""),IF(ROW()-1&lt;=$L$2+$M$2+$N$2,IFERROR(INDEX(CLOZE_LIST!$A:$K,ROW()-1-$L$2-$M$2+1,6),""),IF(ROW()-1&lt;=$L$2+$M$2+$N$2+$O$2,IFERROR(INDEX(PROFORMA!$A:$K,ROW()-1-$L$2-$M$2-$N$2+1,6),""),"")))))</f>
        <v>3</v>
      </c>
      <c r="G294" s="3" t="str">
        <f>IF(ROW()-1&lt;=0,"",IF(ROW()-1&lt;=$L$2,IFERROR(INDEX(MCQ!$A:$K,ROW()-1+1,7),""),IF(ROW()-1&lt;=$L$2+$M$2,IFERROR(INDEX(CLOZE_AB!$A:$K,ROW()-1-$L$2+1,7),""),IF(ROW()-1&lt;=$L$2+$M$2+$N$2,IFERROR(INDEX(CLOZE_LIST!$A:$K,ROW()-1-$L$2-$M$2+1,7),""),IF(ROW()-1&lt;=$L$2+$M$2+$N$2+$O$2,IFERROR(INDEX(PROFORMA!$A:$K,ROW()-1-$L$2-$M$2-$N$2+1,7),""),"")))))</f>
        <v>core</v>
      </c>
      <c r="H294" s="3" t="str">
        <f>IF(ROW()-1&lt;=0,"",IF(ROW()-1&lt;=$L$2,IFERROR(INDEX(MCQ!$A:$K,ROW()-1+1,8),""),IF(ROW()-1&lt;=$L$2+$M$2,IFERROR(INDEX(CLOZE_AB!$A:$K,ROW()-1-$L$2+1,8),""),IF(ROW()-1&lt;=$L$2+$M$2+$N$2,IFERROR(INDEX(CLOZE_LIST!$A:$K,ROW()-1-$L$2-$M$2+1,8),""),IF(ROW()-1&lt;=$L$2+$M$2+$N$2+$O$2,IFERROR(INDEX(PROFORMA!$A:$K,ROW()-1-$L$2-$M$2-$N$2+1,8),""),"")))))</f>
        <v>Y</v>
      </c>
      <c r="I294" s="3" t="str">
        <f>IF(ROW()-1&lt;=0,"",IF(ROW()-1&lt;=$L$2,IFERROR(INDEX(MCQ!$A:$K,ROW()-1+1,9),""),IF(ROW()-1&lt;=$L$2+$M$2,IFERROR(INDEX(CLOZE_AB!$A:$K,ROW()-1-$L$2+1,9),""),IF(ROW()-1&lt;=$L$2+$M$2+$N$2,IFERROR(INDEX(CLOZE_LIST!$A:$K,ROW()-1-$L$2-$M$2+1,9),""),IF(ROW()-1&lt;=$L$2+$M$2+$N$2+$O$2,IFERROR(INDEX(PROFORMA!$A:$K,ROW()-1-$L$2-$M$2-$N$2+1,9),""),"")))))</f>
        <v>ir35;small_entity;deemed_salary</v>
      </c>
      <c r="J294" s="3" t="str">
        <f>IF(ROW()-1&lt;=0,"",IF(ROW()-1&lt;=$L$2,IFERROR(INDEX(MCQ!$A:$K,ROW()-1+1,10),""),IF(ROW()-1&lt;=$L$2+$M$2,IFERROR(INDEX(CLOZE_AB!$A:$K,ROW()-1-$L$2+1,10),""),IF(ROW()-1&lt;=$L$2+$M$2+$N$2,IFERROR(INDEX(CLOZE_LIST!$A:$K,ROW()-1-$L$2-$M$2+1,10),""),IF(ROW()-1&lt;=$L$2+$M$2+$N$2+$O$2,IFERROR(INDEX(PROFORMA!$A:$K,ROW()-1-$L$2-$M$2-$N$2+1,10),""),"")))))</f>
        <v>notes</v>
      </c>
      <c r="K294" s="3">
        <f>IF(ROW()-1&lt;=0,"",IF(ROW()-1&lt;=$L$2,IFERROR(INDEX(MCQ!$A:$K,ROW()-1+1,11),""),IF(ROW()-1&lt;=$L$2+$M$2,IFERROR(INDEX(CLOZE_AB!$A:$K,ROW()-1-$L$2+1,11),""),IF(ROW()-1&lt;=$L$2+$M$2+$N$2,IFERROR(INDEX(CLOZE_LIST!$A:$K,ROW()-1-$L$2-$M$2+1,11),""),IF(ROW()-1&lt;=$L$2+$M$2+$N$2+$O$2,IFERROR(INDEX(PROFORMA!$A:$K,ROW()-1-$L$2-$M$2-$N$2+1,11),""),"")))))</f>
        <v>1</v>
      </c>
      <c r="L294" s="3">
        <f>COUNTA(MCQ!$A:$A)-1</f>
        <v>122</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LIST_ITNIC_REQ_PSC_002</v>
      </c>
      <c r="B295" s="3" t="str">
        <f>IF(ROW()-1&lt;=0,"",IF(ROW()-1&lt;=$L$2,IFERROR(INDEX(MCQ!$A:$K,ROW()-1+1,2),""),IF(ROW()-1&lt;=$L$2+$M$2,IFERROR(INDEX(CLOZE_AB!$A:$K,ROW()-1-$L$2+1,2),""),IF(ROW()-1&lt;=$L$2+$M$2+$N$2,IFERROR(INDEX(CLOZE_LIST!$A:$K,ROW()-1-$L$2-$M$2+1,2),""),IF(ROW()-1&lt;=$L$2+$M$2+$N$2+$O$2,IFERROR(INDEX(PROFORMA!$A:$K,ROW()-1-$L$2-$M$2-$N$2+1,2),""),"")))))</f>
        <v>Income tax &amp; NIC</v>
      </c>
      <c r="C295" s="3" t="str">
        <f>IF(ROW()-1&lt;=0,"",IF(ROW()-1&lt;=$L$2,IFERROR(INDEX(MCQ!$A:$K,ROW()-1+1,3),""),IF(ROW()-1&lt;=$L$2+$M$2,IFERROR(INDEX(CLOZE_AB!$A:$K,ROW()-1-$L$2+1,3),""),IF(ROW()-1&lt;=$L$2+$M$2+$N$2,IFERROR(INDEX(CLOZE_LIST!$A:$K,ROW()-1-$L$2-$M$2+1,3),""),IF(ROW()-1&lt;=$L$2+$M$2+$N$2+$O$2,IFERROR(INDEX(PROFORMA!$A:$K,ROW()-1-$L$2-$M$2-$N$2+1,3),""),"")))))</f>
        <v>requirements</v>
      </c>
      <c r="D295" s="3" t="str">
        <f>IF(ROW()-1&lt;=0,"",IF(ROW()-1&lt;=$L$2,IFERROR(INDEX(MCQ!$A:$K,ROW()-1+1,4),""),IF(ROW()-1&lt;=$L$2+$M$2,IFERROR(INDEX(CLOZE_AB!$A:$K,ROW()-1-$L$2+1,4),""),IF(ROW()-1&lt;=$L$2+$M$2+$N$2,IFERROR(INDEX(CLOZE_LIST!$A:$K,ROW()-1-$L$2-$M$2+1,4),""),IF(ROW()-1&lt;=$L$2+$M$2+$N$2+$O$2,IFERROR(INDEX(PROFORMA!$A:$K,ROW()-1-$L$2-$M$2-$N$2+1,4),""),"")))))</f>
        <v>Personal service companies and IR35</v>
      </c>
      <c r="E295" s="3" t="str">
        <f>IF(ROW()-1&lt;=0,"",IF(ROW()-1&lt;=$L$2,IFERROR(INDEX(MCQ!$A:$K,ROW()-1+1,5),""),IF(ROW()-1&lt;=$L$2+$M$2,IFERROR(INDEX(CLOZE_AB!$A:$K,ROW()-1-$L$2+1,5),""),IF(ROW()-1&lt;=$L$2+$M$2+$N$2,IFERROR(INDEX(CLOZE_LIST!$A:$K,ROW()-1-$L$2-$M$2+1,5),""),IF(ROW()-1&lt;=$L$2+$M$2+$N$2+$O$2,IFERROR(INDEX(PROFORMA!$A:$K,ROW()-1-$L$2-$M$2-$N$2+1,5),""),"")))))</f>
        <v>cloze_list</v>
      </c>
      <c r="F295" s="3">
        <f>IF(ROW()-1&lt;=0,"",IF(ROW()-1&lt;=$L$2,IFERROR(INDEX(MCQ!$A:$K,ROW()-1+1,6),""),IF(ROW()-1&lt;=$L$2+$M$2,IFERROR(INDEX(CLOZE_AB!$A:$K,ROW()-1-$L$2+1,6),""),IF(ROW()-1&lt;=$L$2+$M$2+$N$2,IFERROR(INDEX(CLOZE_LIST!$A:$K,ROW()-1-$L$2-$M$2+1,6),""),IF(ROW()-1&lt;=$L$2+$M$2+$N$2+$O$2,IFERROR(INDEX(PROFORMA!$A:$K,ROW()-1-$L$2-$M$2-$N$2+1,6),""),"")))))</f>
        <v>3</v>
      </c>
      <c r="G295" s="3" t="str">
        <f>IF(ROW()-1&lt;=0,"",IF(ROW()-1&lt;=$L$2,IFERROR(INDEX(MCQ!$A:$K,ROW()-1+1,7),""),IF(ROW()-1&lt;=$L$2+$M$2,IFERROR(INDEX(CLOZE_AB!$A:$K,ROW()-1-$L$2+1,7),""),IF(ROW()-1&lt;=$L$2+$M$2+$N$2,IFERROR(INDEX(CLOZE_LIST!$A:$K,ROW()-1-$L$2-$M$2+1,7),""),IF(ROW()-1&lt;=$L$2+$M$2+$N$2+$O$2,IFERROR(INDEX(PROFORMA!$A:$K,ROW()-1-$L$2-$M$2-$N$2+1,7),""),"")))))</f>
        <v>core</v>
      </c>
      <c r="H295" s="3" t="str">
        <f>IF(ROW()-1&lt;=0,"",IF(ROW()-1&lt;=$L$2,IFERROR(INDEX(MCQ!$A:$K,ROW()-1+1,8),""),IF(ROW()-1&lt;=$L$2+$M$2,IFERROR(INDEX(CLOZE_AB!$A:$K,ROW()-1-$L$2+1,8),""),IF(ROW()-1&lt;=$L$2+$M$2+$N$2,IFERROR(INDEX(CLOZE_LIST!$A:$K,ROW()-1-$L$2-$M$2+1,8),""),IF(ROW()-1&lt;=$L$2+$M$2+$N$2+$O$2,IFERROR(INDEX(PROFORMA!$A:$K,ROW()-1-$L$2-$M$2-$N$2+1,8),""),"")))))</f>
        <v>Y</v>
      </c>
      <c r="I295" s="3" t="str">
        <f>IF(ROW()-1&lt;=0,"",IF(ROW()-1&lt;=$L$2,IFERROR(INDEX(MCQ!$A:$K,ROW()-1+1,9),""),IF(ROW()-1&lt;=$L$2+$M$2,IFERROR(INDEX(CLOZE_AB!$A:$K,ROW()-1-$L$2+1,9),""),IF(ROW()-1&lt;=$L$2+$M$2+$N$2,IFERROR(INDEX(CLOZE_LIST!$A:$K,ROW()-1-$L$2-$M$2+1,9),""),IF(ROW()-1&lt;=$L$2+$M$2+$N$2+$O$2,IFERROR(INDEX(PROFORMA!$A:$K,ROW()-1-$L$2-$M$2-$N$2+1,9),""),"")))))</f>
        <v>ir35;medium_large_entity;sds;ddp</v>
      </c>
      <c r="J295" s="3" t="str">
        <f>IF(ROW()-1&lt;=0,"",IF(ROW()-1&lt;=$L$2,IFERROR(INDEX(MCQ!$A:$K,ROW()-1+1,10),""),IF(ROW()-1&lt;=$L$2+$M$2,IFERROR(INDEX(CLOZE_AB!$A:$K,ROW()-1-$L$2+1,10),""),IF(ROW()-1&lt;=$L$2+$M$2+$N$2,IFERROR(INDEX(CLOZE_LIST!$A:$K,ROW()-1-$L$2-$M$2+1,10),""),IF(ROW()-1&lt;=$L$2+$M$2+$N$2+$O$2,IFERROR(INDEX(PROFORMA!$A:$K,ROW()-1-$L$2-$M$2-$N$2+1,10),""),"")))))</f>
        <v>notes</v>
      </c>
      <c r="K295" s="3">
        <f>IF(ROW()-1&lt;=0,"",IF(ROW()-1&lt;=$L$2,IFERROR(INDEX(MCQ!$A:$K,ROW()-1+1,11),""),IF(ROW()-1&lt;=$L$2+$M$2,IFERROR(INDEX(CLOZE_AB!$A:$K,ROW()-1-$L$2+1,11),""),IF(ROW()-1&lt;=$L$2+$M$2+$N$2,IFERROR(INDEX(CLOZE_LIST!$A:$K,ROW()-1-$L$2-$M$2+1,11),""),IF(ROW()-1&lt;=$L$2+$M$2+$N$2+$O$2,IFERROR(INDEX(PROFORMA!$A:$K,ROW()-1-$L$2-$M$2-$N$2+1,11),""),"")))))</f>
        <v>1</v>
      </c>
      <c r="L295" s="3">
        <f>COUNTA(MCQ!$A:$A)-1</f>
        <v>122</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LIST_ITNIC_REQ_SHS_001</v>
      </c>
      <c r="B296" s="3" t="str">
        <f>IF(ROW()-1&lt;=0,"",IF(ROW()-1&lt;=$L$2,IFERROR(INDEX(MCQ!$A:$K,ROW()-1+1,2),""),IF(ROW()-1&lt;=$L$2+$M$2,IFERROR(INDEX(CLOZE_AB!$A:$K,ROW()-1-$L$2+1,2),""),IF(ROW()-1&lt;=$L$2+$M$2+$N$2,IFERROR(INDEX(CLOZE_LIST!$A:$K,ROW()-1-$L$2-$M$2+1,2),""),IF(ROW()-1&lt;=$L$2+$M$2+$N$2+$O$2,IFERROR(INDEX(PROFORMA!$A:$K,ROW()-1-$L$2-$M$2-$N$2+1,2),""),"")))))</f>
        <v>Income tax &amp; NIC</v>
      </c>
      <c r="C296" s="3" t="str">
        <f>IF(ROW()-1&lt;=0,"",IF(ROW()-1&lt;=$L$2,IFERROR(INDEX(MCQ!$A:$K,ROW()-1+1,3),""),IF(ROW()-1&lt;=$L$2+$M$2,IFERROR(INDEX(CLOZE_AB!$A:$K,ROW()-1-$L$2+1,3),""),IF(ROW()-1&lt;=$L$2+$M$2+$N$2,IFERROR(INDEX(CLOZE_LIST!$A:$K,ROW()-1-$L$2-$M$2+1,3),""),IF(ROW()-1&lt;=$L$2+$M$2+$N$2+$O$2,IFERROR(INDEX(PROFORMA!$A:$K,ROW()-1-$L$2-$M$2-$N$2+1,3),""),"")))))</f>
        <v>requirements</v>
      </c>
      <c r="D296" s="3" t="str">
        <f>IF(ROW()-1&lt;=0,"",IF(ROW()-1&lt;=$L$2,IFERROR(INDEX(MCQ!$A:$K,ROW()-1+1,4),""),IF(ROW()-1&lt;=$L$2+$M$2,IFERROR(INDEX(CLOZE_AB!$A:$K,ROW()-1-$L$2+1,4),""),IF(ROW()-1&lt;=$L$2+$M$2+$N$2,IFERROR(INDEX(CLOZE_LIST!$A:$K,ROW()-1-$L$2-$M$2+1,4),""),IF(ROW()-1&lt;=$L$2+$M$2+$N$2+$O$2,IFERROR(INDEX(PROFORMA!$A:$K,ROW()-1-$L$2-$M$2-$N$2+1,4),""),"")))))</f>
        <v>Employee share schemes</v>
      </c>
      <c r="E296" s="3" t="str">
        <f>IF(ROW()-1&lt;=0,"",IF(ROW()-1&lt;=$L$2,IFERROR(INDEX(MCQ!$A:$K,ROW()-1+1,5),""),IF(ROW()-1&lt;=$L$2+$M$2,IFERROR(INDEX(CLOZE_AB!$A:$K,ROW()-1-$L$2+1,5),""),IF(ROW()-1&lt;=$L$2+$M$2+$N$2,IFERROR(INDEX(CLOZE_LIST!$A:$K,ROW()-1-$L$2-$M$2+1,5),""),IF(ROW()-1&lt;=$L$2+$M$2+$N$2+$O$2,IFERROR(INDEX(PROFORMA!$A:$K,ROW()-1-$L$2-$M$2-$N$2+1,5),""),"")))))</f>
        <v>cloze_list</v>
      </c>
      <c r="F296" s="3">
        <f>IF(ROW()-1&lt;=0,"",IF(ROW()-1&lt;=$L$2,IFERROR(INDEX(MCQ!$A:$K,ROW()-1+1,6),""),IF(ROW()-1&lt;=$L$2+$M$2,IFERROR(INDEX(CLOZE_AB!$A:$K,ROW()-1-$L$2+1,6),""),IF(ROW()-1&lt;=$L$2+$M$2+$N$2,IFERROR(INDEX(CLOZE_LIST!$A:$K,ROW()-1-$L$2-$M$2+1,6),""),IF(ROW()-1&lt;=$L$2+$M$2+$N$2+$O$2,IFERROR(INDEX(PROFORMA!$A:$K,ROW()-1-$L$2-$M$2-$N$2+1,6),""),"")))))</f>
        <v>3</v>
      </c>
      <c r="G296" s="3" t="str">
        <f>IF(ROW()-1&lt;=0,"",IF(ROW()-1&lt;=$L$2,IFERROR(INDEX(MCQ!$A:$K,ROW()-1+1,7),""),IF(ROW()-1&lt;=$L$2+$M$2,IFERROR(INDEX(CLOZE_AB!$A:$K,ROW()-1-$L$2+1,7),""),IF(ROW()-1&lt;=$L$2+$M$2+$N$2,IFERROR(INDEX(CLOZE_LIST!$A:$K,ROW()-1-$L$2-$M$2+1,7),""),IF(ROW()-1&lt;=$L$2+$M$2+$N$2+$O$2,IFERROR(INDEX(PROFORMA!$A:$K,ROW()-1-$L$2-$M$2-$N$2+1,7),""),"")))))</f>
        <v>core</v>
      </c>
      <c r="H296" s="3" t="str">
        <f>IF(ROW()-1&lt;=0,"",IF(ROW()-1&lt;=$L$2,IFERROR(INDEX(MCQ!$A:$K,ROW()-1+1,8),""),IF(ROW()-1&lt;=$L$2+$M$2,IFERROR(INDEX(CLOZE_AB!$A:$K,ROW()-1-$L$2+1,8),""),IF(ROW()-1&lt;=$L$2+$M$2+$N$2,IFERROR(INDEX(CLOZE_LIST!$A:$K,ROW()-1-$L$2-$M$2+1,8),""),IF(ROW()-1&lt;=$L$2+$M$2+$N$2+$O$2,IFERROR(INDEX(PROFORMA!$A:$K,ROW()-1-$L$2-$M$2-$N$2+1,8),""),"")))))</f>
        <v>Y</v>
      </c>
      <c r="I296" s="3" t="str">
        <f>IF(ROW()-1&lt;=0,"",IF(ROW()-1&lt;=$L$2,IFERROR(INDEX(MCQ!$A:$K,ROW()-1+1,9),""),IF(ROW()-1&lt;=$L$2+$M$2,IFERROR(INDEX(CLOZE_AB!$A:$K,ROW()-1-$L$2+1,9),""),IF(ROW()-1&lt;=$L$2+$M$2+$N$2,IFERROR(INDEX(CLOZE_LIST!$A:$K,ROW()-1-$L$2-$M$2+1,9),""),IF(ROW()-1&lt;=$L$2+$M$2+$N$2+$O$2,IFERROR(INDEX(PROFORMA!$A:$K,ROW()-1-$L$2-$M$2-$N$2+1,9),""),"")))))</f>
        <v>share_options;terminology</v>
      </c>
      <c r="J296" s="3" t="str">
        <f>IF(ROW()-1&lt;=0,"",IF(ROW()-1&lt;=$L$2,IFERROR(INDEX(MCQ!$A:$K,ROW()-1+1,10),""),IF(ROW()-1&lt;=$L$2+$M$2,IFERROR(INDEX(CLOZE_AB!$A:$K,ROW()-1-$L$2+1,10),""),IF(ROW()-1&lt;=$L$2+$M$2+$N$2,IFERROR(INDEX(CLOZE_LIST!$A:$K,ROW()-1-$L$2-$M$2+1,10),""),IF(ROW()-1&lt;=$L$2+$M$2+$N$2+$O$2,IFERROR(INDEX(PROFORMA!$A:$K,ROW()-1-$L$2-$M$2-$N$2+1,10),""),"")))))</f>
        <v>notes</v>
      </c>
      <c r="K296" s="3">
        <f>IF(ROW()-1&lt;=0,"",IF(ROW()-1&lt;=$L$2,IFERROR(INDEX(MCQ!$A:$K,ROW()-1+1,11),""),IF(ROW()-1&lt;=$L$2+$M$2,IFERROR(INDEX(CLOZE_AB!$A:$K,ROW()-1-$L$2+1,11),""),IF(ROW()-1&lt;=$L$2+$M$2+$N$2,IFERROR(INDEX(CLOZE_LIST!$A:$K,ROW()-1-$L$2-$M$2+1,11),""),IF(ROW()-1&lt;=$L$2+$M$2+$N$2+$O$2,IFERROR(INDEX(PROFORMA!$A:$K,ROW()-1-$L$2-$M$2-$N$2+1,11),""),"")))))</f>
        <v>1</v>
      </c>
      <c r="L296" s="3">
        <f>COUNTA(MCQ!$A:$A)-1</f>
        <v>122</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LIST_ITNIC_REQ_SHS_002</v>
      </c>
      <c r="B297" s="3" t="str">
        <f>IF(ROW()-1&lt;=0,"",IF(ROW()-1&lt;=$L$2,IFERROR(INDEX(MCQ!$A:$K,ROW()-1+1,2),""),IF(ROW()-1&lt;=$L$2+$M$2,IFERROR(INDEX(CLOZE_AB!$A:$K,ROW()-1-$L$2+1,2),""),IF(ROW()-1&lt;=$L$2+$M$2+$N$2,IFERROR(INDEX(CLOZE_LIST!$A:$K,ROW()-1-$L$2-$M$2+1,2),""),IF(ROW()-1&lt;=$L$2+$M$2+$N$2+$O$2,IFERROR(INDEX(PROFORMA!$A:$K,ROW()-1-$L$2-$M$2-$N$2+1,2),""),"")))))</f>
        <v>Income tax &amp; NIC</v>
      </c>
      <c r="C297" s="3" t="str">
        <f>IF(ROW()-1&lt;=0,"",IF(ROW()-1&lt;=$L$2,IFERROR(INDEX(MCQ!$A:$K,ROW()-1+1,3),""),IF(ROW()-1&lt;=$L$2+$M$2,IFERROR(INDEX(CLOZE_AB!$A:$K,ROW()-1-$L$2+1,3),""),IF(ROW()-1&lt;=$L$2+$M$2+$N$2,IFERROR(INDEX(CLOZE_LIST!$A:$K,ROW()-1-$L$2-$M$2+1,3),""),IF(ROW()-1&lt;=$L$2+$M$2+$N$2+$O$2,IFERROR(INDEX(PROFORMA!$A:$K,ROW()-1-$L$2-$M$2-$N$2+1,3),""),"")))))</f>
        <v>requirements</v>
      </c>
      <c r="D297" s="3" t="str">
        <f>IF(ROW()-1&lt;=0,"",IF(ROW()-1&lt;=$L$2,IFERROR(INDEX(MCQ!$A:$K,ROW()-1+1,4),""),IF(ROW()-1&lt;=$L$2+$M$2,IFERROR(INDEX(CLOZE_AB!$A:$K,ROW()-1-$L$2+1,4),""),IF(ROW()-1&lt;=$L$2+$M$2+$N$2,IFERROR(INDEX(CLOZE_LIST!$A:$K,ROW()-1-$L$2-$M$2+1,4),""),IF(ROW()-1&lt;=$L$2+$M$2+$N$2+$O$2,IFERROR(INDEX(PROFORMA!$A:$K,ROW()-1-$L$2-$M$2-$N$2+1,4),""),"")))))</f>
        <v>Employee share schemes</v>
      </c>
      <c r="E297" s="3" t="str">
        <f>IF(ROW()-1&lt;=0,"",IF(ROW()-1&lt;=$L$2,IFERROR(INDEX(MCQ!$A:$K,ROW()-1+1,5),""),IF(ROW()-1&lt;=$L$2+$M$2,IFERROR(INDEX(CLOZE_AB!$A:$K,ROW()-1-$L$2+1,5),""),IF(ROW()-1&lt;=$L$2+$M$2+$N$2,IFERROR(INDEX(CLOZE_LIST!$A:$K,ROW()-1-$L$2-$M$2+1,5),""),IF(ROW()-1&lt;=$L$2+$M$2+$N$2+$O$2,IFERROR(INDEX(PROFORMA!$A:$K,ROW()-1-$L$2-$M$2-$N$2+1,5),""),"")))))</f>
        <v>cloze_list</v>
      </c>
      <c r="F297" s="3">
        <f>IF(ROW()-1&lt;=0,"",IF(ROW()-1&lt;=$L$2,IFERROR(INDEX(MCQ!$A:$K,ROW()-1+1,6),""),IF(ROW()-1&lt;=$L$2+$M$2,IFERROR(INDEX(CLOZE_AB!$A:$K,ROW()-1-$L$2+1,6),""),IF(ROW()-1&lt;=$L$2+$M$2+$N$2,IFERROR(INDEX(CLOZE_LIST!$A:$K,ROW()-1-$L$2-$M$2+1,6),""),IF(ROW()-1&lt;=$L$2+$M$2+$N$2+$O$2,IFERROR(INDEX(PROFORMA!$A:$K,ROW()-1-$L$2-$M$2-$N$2+1,6),""),"")))))</f>
        <v>3</v>
      </c>
      <c r="G297" s="3" t="str">
        <f>IF(ROW()-1&lt;=0,"",IF(ROW()-1&lt;=$L$2,IFERROR(INDEX(MCQ!$A:$K,ROW()-1+1,7),""),IF(ROW()-1&lt;=$L$2+$M$2,IFERROR(INDEX(CLOZE_AB!$A:$K,ROW()-1-$L$2+1,7),""),IF(ROW()-1&lt;=$L$2+$M$2+$N$2,IFERROR(INDEX(CLOZE_LIST!$A:$K,ROW()-1-$L$2-$M$2+1,7),""),IF(ROW()-1&lt;=$L$2+$M$2+$N$2+$O$2,IFERROR(INDEX(PROFORMA!$A:$K,ROW()-1-$L$2-$M$2-$N$2+1,7),""),"")))))</f>
        <v>core</v>
      </c>
      <c r="H297" s="3" t="str">
        <f>IF(ROW()-1&lt;=0,"",IF(ROW()-1&lt;=$L$2,IFERROR(INDEX(MCQ!$A:$K,ROW()-1+1,8),""),IF(ROW()-1&lt;=$L$2+$M$2,IFERROR(INDEX(CLOZE_AB!$A:$K,ROW()-1-$L$2+1,8),""),IF(ROW()-1&lt;=$L$2+$M$2+$N$2,IFERROR(INDEX(CLOZE_LIST!$A:$K,ROW()-1-$L$2-$M$2+1,8),""),IF(ROW()-1&lt;=$L$2+$M$2+$N$2+$O$2,IFERROR(INDEX(PROFORMA!$A:$K,ROW()-1-$L$2-$M$2-$N$2+1,8),""),"")))))</f>
        <v>Y</v>
      </c>
      <c r="I297" s="3" t="str">
        <f>IF(ROW()-1&lt;=0,"",IF(ROW()-1&lt;=$L$2,IFERROR(INDEX(MCQ!$A:$K,ROW()-1+1,9),""),IF(ROW()-1&lt;=$L$2+$M$2,IFERROR(INDEX(CLOZE_AB!$A:$K,ROW()-1-$L$2+1,9),""),IF(ROW()-1&lt;=$L$2+$M$2+$N$2,IFERROR(INDEX(CLOZE_LIST!$A:$K,ROW()-1-$L$2-$M$2+1,9),""),IF(ROW()-1&lt;=$L$2+$M$2+$N$2+$O$2,IFERROR(INDEX(PROFORMA!$A:$K,ROW()-1-$L$2-$M$2-$N$2+1,9),""),"")))))</f>
        <v>csop;emi;limits</v>
      </c>
      <c r="J297" s="3" t="str">
        <f>IF(ROW()-1&lt;=0,"",IF(ROW()-1&lt;=$L$2,IFERROR(INDEX(MCQ!$A:$K,ROW()-1+1,10),""),IF(ROW()-1&lt;=$L$2+$M$2,IFERROR(INDEX(CLOZE_AB!$A:$K,ROW()-1-$L$2+1,10),""),IF(ROW()-1&lt;=$L$2+$M$2+$N$2,IFERROR(INDEX(CLOZE_LIST!$A:$K,ROW()-1-$L$2-$M$2+1,10),""),IF(ROW()-1&lt;=$L$2+$M$2+$N$2+$O$2,IFERROR(INDEX(PROFORMA!$A:$K,ROW()-1-$L$2-$M$2-$N$2+1,10),""),"")))))</f>
        <v>notes</v>
      </c>
      <c r="K297" s="3">
        <f>IF(ROW()-1&lt;=0,"",IF(ROW()-1&lt;=$L$2,IFERROR(INDEX(MCQ!$A:$K,ROW()-1+1,11),""),IF(ROW()-1&lt;=$L$2+$M$2,IFERROR(INDEX(CLOZE_AB!$A:$K,ROW()-1-$L$2+1,11),""),IF(ROW()-1&lt;=$L$2+$M$2+$N$2,IFERROR(INDEX(CLOZE_LIST!$A:$K,ROW()-1-$L$2-$M$2+1,11),""),IF(ROW()-1&lt;=$L$2+$M$2+$N$2+$O$2,IFERROR(INDEX(PROFORMA!$A:$K,ROW()-1-$L$2-$M$2-$N$2+1,11),""),"")))))</f>
        <v>1</v>
      </c>
      <c r="L297" s="3">
        <f>COUNTA(MCQ!$A:$A)-1</f>
        <v>122</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LIST_ITNIC_REQ_SHS_003</v>
      </c>
      <c r="B298" s="3" t="str">
        <f>IF(ROW()-1&lt;=0,"",IF(ROW()-1&lt;=$L$2,IFERROR(INDEX(MCQ!$A:$K,ROW()-1+1,2),""),IF(ROW()-1&lt;=$L$2+$M$2,IFERROR(INDEX(CLOZE_AB!$A:$K,ROW()-1-$L$2+1,2),""),IF(ROW()-1&lt;=$L$2+$M$2+$N$2,IFERROR(INDEX(CLOZE_LIST!$A:$K,ROW()-1-$L$2-$M$2+1,2),""),IF(ROW()-1&lt;=$L$2+$M$2+$N$2+$O$2,IFERROR(INDEX(PROFORMA!$A:$K,ROW()-1-$L$2-$M$2-$N$2+1,2),""),"")))))</f>
        <v>Income tax &amp; NIC</v>
      </c>
      <c r="C298" s="3" t="str">
        <f>IF(ROW()-1&lt;=0,"",IF(ROW()-1&lt;=$L$2,IFERROR(INDEX(MCQ!$A:$K,ROW()-1+1,3),""),IF(ROW()-1&lt;=$L$2+$M$2,IFERROR(INDEX(CLOZE_AB!$A:$K,ROW()-1-$L$2+1,3),""),IF(ROW()-1&lt;=$L$2+$M$2+$N$2,IFERROR(INDEX(CLOZE_LIST!$A:$K,ROW()-1-$L$2-$M$2+1,3),""),IF(ROW()-1&lt;=$L$2+$M$2+$N$2+$O$2,IFERROR(INDEX(PROFORMA!$A:$K,ROW()-1-$L$2-$M$2-$N$2+1,3),""),"")))))</f>
        <v>requirements</v>
      </c>
      <c r="D298" s="3" t="str">
        <f>IF(ROW()-1&lt;=0,"",IF(ROW()-1&lt;=$L$2,IFERROR(INDEX(MCQ!$A:$K,ROW()-1+1,4),""),IF(ROW()-1&lt;=$L$2+$M$2,IFERROR(INDEX(CLOZE_AB!$A:$K,ROW()-1-$L$2+1,4),""),IF(ROW()-1&lt;=$L$2+$M$2+$N$2,IFERROR(INDEX(CLOZE_LIST!$A:$K,ROW()-1-$L$2-$M$2+1,4),""),IF(ROW()-1&lt;=$L$2+$M$2+$N$2+$O$2,IFERROR(INDEX(PROFORMA!$A:$K,ROW()-1-$L$2-$M$2-$N$2+1,4),""),"")))))</f>
        <v>Employee share schemes</v>
      </c>
      <c r="E298" s="3" t="str">
        <f>IF(ROW()-1&lt;=0,"",IF(ROW()-1&lt;=$L$2,IFERROR(INDEX(MCQ!$A:$K,ROW()-1+1,5),""),IF(ROW()-1&lt;=$L$2+$M$2,IFERROR(INDEX(CLOZE_AB!$A:$K,ROW()-1-$L$2+1,5),""),IF(ROW()-1&lt;=$L$2+$M$2+$N$2,IFERROR(INDEX(CLOZE_LIST!$A:$K,ROW()-1-$L$2-$M$2+1,5),""),IF(ROW()-1&lt;=$L$2+$M$2+$N$2+$O$2,IFERROR(INDEX(PROFORMA!$A:$K,ROW()-1-$L$2-$M$2-$N$2+1,5),""),"")))))</f>
        <v>cloze_list</v>
      </c>
      <c r="F298" s="3">
        <f>IF(ROW()-1&lt;=0,"",IF(ROW()-1&lt;=$L$2,IFERROR(INDEX(MCQ!$A:$K,ROW()-1+1,6),""),IF(ROW()-1&lt;=$L$2+$M$2,IFERROR(INDEX(CLOZE_AB!$A:$K,ROW()-1-$L$2+1,6),""),IF(ROW()-1&lt;=$L$2+$M$2+$N$2,IFERROR(INDEX(CLOZE_LIST!$A:$K,ROW()-1-$L$2-$M$2+1,6),""),IF(ROW()-1&lt;=$L$2+$M$2+$N$2+$O$2,IFERROR(INDEX(PROFORMA!$A:$K,ROW()-1-$L$2-$M$2-$N$2+1,6),""),"")))))</f>
        <v>3</v>
      </c>
      <c r="G298" s="3" t="str">
        <f>IF(ROW()-1&lt;=0,"",IF(ROW()-1&lt;=$L$2,IFERROR(INDEX(MCQ!$A:$K,ROW()-1+1,7),""),IF(ROW()-1&lt;=$L$2+$M$2,IFERROR(INDEX(CLOZE_AB!$A:$K,ROW()-1-$L$2+1,7),""),IF(ROW()-1&lt;=$L$2+$M$2+$N$2,IFERROR(INDEX(CLOZE_LIST!$A:$K,ROW()-1-$L$2-$M$2+1,7),""),IF(ROW()-1&lt;=$L$2+$M$2+$N$2+$O$2,IFERROR(INDEX(PROFORMA!$A:$K,ROW()-1-$L$2-$M$2-$N$2+1,7),""),"")))))</f>
        <v>core</v>
      </c>
      <c r="H298" s="3" t="str">
        <f>IF(ROW()-1&lt;=0,"",IF(ROW()-1&lt;=$L$2,IFERROR(INDEX(MCQ!$A:$K,ROW()-1+1,8),""),IF(ROW()-1&lt;=$L$2+$M$2,IFERROR(INDEX(CLOZE_AB!$A:$K,ROW()-1-$L$2+1,8),""),IF(ROW()-1&lt;=$L$2+$M$2+$N$2,IFERROR(INDEX(CLOZE_LIST!$A:$K,ROW()-1-$L$2-$M$2+1,8),""),IF(ROW()-1&lt;=$L$2+$M$2+$N$2+$O$2,IFERROR(INDEX(PROFORMA!$A:$K,ROW()-1-$L$2-$M$2-$N$2+1,8),""),"")))))</f>
        <v>Y</v>
      </c>
      <c r="I298" s="3" t="str">
        <f>IF(ROW()-1&lt;=0,"",IF(ROW()-1&lt;=$L$2,IFERROR(INDEX(MCQ!$A:$K,ROW()-1+1,9),""),IF(ROW()-1&lt;=$L$2+$M$2,IFERROR(INDEX(CLOZE_AB!$A:$K,ROW()-1-$L$2+1,9),""),IF(ROW()-1&lt;=$L$2+$M$2+$N$2,IFERROR(INDEX(CLOZE_LIST!$A:$K,ROW()-1-$L$2-$M$2+1,9),""),IF(ROW()-1&lt;=$L$2+$M$2+$N$2+$O$2,IFERROR(INDEX(PROFORMA!$A:$K,ROW()-1-$L$2-$M$2-$N$2+1,9),""),"")))))</f>
        <v>sip;hold_period;withdrawal</v>
      </c>
      <c r="J298" s="3" t="str">
        <f>IF(ROW()-1&lt;=0,"",IF(ROW()-1&lt;=$L$2,IFERROR(INDEX(MCQ!$A:$K,ROW()-1+1,10),""),IF(ROW()-1&lt;=$L$2+$M$2,IFERROR(INDEX(CLOZE_AB!$A:$K,ROW()-1-$L$2+1,10),""),IF(ROW()-1&lt;=$L$2+$M$2+$N$2,IFERROR(INDEX(CLOZE_LIST!$A:$K,ROW()-1-$L$2-$M$2+1,10),""),IF(ROW()-1&lt;=$L$2+$M$2+$N$2+$O$2,IFERROR(INDEX(PROFORMA!$A:$K,ROW()-1-$L$2-$M$2-$N$2+1,10),""),"")))))</f>
        <v>notes</v>
      </c>
      <c r="K298" s="3">
        <f>IF(ROW()-1&lt;=0,"",IF(ROW()-1&lt;=$L$2,IFERROR(INDEX(MCQ!$A:$K,ROW()-1+1,11),""),IF(ROW()-1&lt;=$L$2+$M$2,IFERROR(INDEX(CLOZE_AB!$A:$K,ROW()-1-$L$2+1,11),""),IF(ROW()-1&lt;=$L$2+$M$2+$N$2,IFERROR(INDEX(CLOZE_LIST!$A:$K,ROW()-1-$L$2-$M$2+1,11),""),IF(ROW()-1&lt;=$L$2+$M$2+$N$2+$O$2,IFERROR(INDEX(PROFORMA!$A:$K,ROW()-1-$L$2-$M$2-$N$2+1,11),""),"")))))</f>
        <v>1</v>
      </c>
      <c r="L298" s="3">
        <f>COUNTA(MCQ!$A:$A)-1</f>
        <v>122</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LIST_CGT_REQ_SPLITYR_001</v>
      </c>
      <c r="B299" s="3" t="str">
        <f>IF(ROW()-1&lt;=0,"",IF(ROW()-1&lt;=$L$2,IFERROR(INDEX(MCQ!$A:$K,ROW()-1+1,2),""),IF(ROW()-1&lt;=$L$2+$M$2,IFERROR(INDEX(CLOZE_AB!$A:$K,ROW()-1-$L$2+1,2),""),IF(ROW()-1&lt;=$L$2+$M$2+$N$2,IFERROR(INDEX(CLOZE_LIST!$A:$K,ROW()-1-$L$2-$M$2+1,2),""),IF(ROW()-1&lt;=$L$2+$M$2+$N$2+$O$2,IFERROR(INDEX(PROFORMA!$A:$K,ROW()-1-$L$2-$M$2-$N$2+1,2),""),"")))))</f>
        <v>Capital gains</v>
      </c>
      <c r="C299" s="3" t="str">
        <f>IF(ROW()-1&lt;=0,"",IF(ROW()-1&lt;=$L$2,IFERROR(INDEX(MCQ!$A:$K,ROW()-1+1,3),""),IF(ROW()-1&lt;=$L$2+$M$2,IFERROR(INDEX(CLOZE_AB!$A:$K,ROW()-1-$L$2+1,3),""),IF(ROW()-1&lt;=$L$2+$M$2+$N$2,IFERROR(INDEX(CLOZE_LIST!$A:$K,ROW()-1-$L$2-$M$2+1,3),""),IF(ROW()-1&lt;=$L$2+$M$2+$N$2+$O$2,IFERROR(INDEX(PROFORMA!$A:$K,ROW()-1-$L$2-$M$2-$N$2+1,3),""),"")))))</f>
        <v>requirements</v>
      </c>
      <c r="D299" s="3" t="str">
        <f>IF(ROW()-1&lt;=0,"",IF(ROW()-1&lt;=$L$2,IFERROR(INDEX(MCQ!$A:$K,ROW()-1+1,4),""),IF(ROW()-1&lt;=$L$2+$M$2,IFERROR(INDEX(CLOZE_AB!$A:$K,ROW()-1-$L$2+1,4),""),IF(ROW()-1&lt;=$L$2+$M$2+$N$2,IFERROR(INDEX(CLOZE_LIST!$A:$K,ROW()-1-$L$2-$M$2+1,4),""),IF(ROW()-1&lt;=$L$2+$M$2+$N$2+$O$2,IFERROR(INDEX(PROFORMA!$A:$K,ROW()-1-$L$2-$M$2-$N$2+1,4),""),"")))))</f>
        <v>Split-year treatment</v>
      </c>
      <c r="E299" s="3" t="str">
        <f>IF(ROW()-1&lt;=0,"",IF(ROW()-1&lt;=$L$2,IFERROR(INDEX(MCQ!$A:$K,ROW()-1+1,5),""),IF(ROW()-1&lt;=$L$2+$M$2,IFERROR(INDEX(CLOZE_AB!$A:$K,ROW()-1-$L$2+1,5),""),IF(ROW()-1&lt;=$L$2+$M$2+$N$2,IFERROR(INDEX(CLOZE_LIST!$A:$K,ROW()-1-$L$2-$M$2+1,5),""),IF(ROW()-1&lt;=$L$2+$M$2+$N$2+$O$2,IFERROR(INDEX(PROFORMA!$A:$K,ROW()-1-$L$2-$M$2-$N$2+1,5),""),"")))))</f>
        <v>cloze_list</v>
      </c>
      <c r="F299" s="3">
        <f>IF(ROW()-1&lt;=0,"",IF(ROW()-1&lt;=$L$2,IFERROR(INDEX(MCQ!$A:$K,ROW()-1+1,6),""),IF(ROW()-1&lt;=$L$2+$M$2,IFERROR(INDEX(CLOZE_AB!$A:$K,ROW()-1-$L$2+1,6),""),IF(ROW()-1&lt;=$L$2+$M$2+$N$2,IFERROR(INDEX(CLOZE_LIST!$A:$K,ROW()-1-$L$2-$M$2+1,6),""),IF(ROW()-1&lt;=$L$2+$M$2+$N$2+$O$2,IFERROR(INDEX(PROFORMA!$A:$K,ROW()-1-$L$2-$M$2-$N$2+1,6),""),"")))))</f>
        <v>3</v>
      </c>
      <c r="G299" s="3" t="str">
        <f>IF(ROW()-1&lt;=0,"",IF(ROW()-1&lt;=$L$2,IFERROR(INDEX(MCQ!$A:$K,ROW()-1+1,7),""),IF(ROW()-1&lt;=$L$2+$M$2,IFERROR(INDEX(CLOZE_AB!$A:$K,ROW()-1-$L$2+1,7),""),IF(ROW()-1&lt;=$L$2+$M$2+$N$2,IFERROR(INDEX(CLOZE_LIST!$A:$K,ROW()-1-$L$2-$M$2+1,7),""),IF(ROW()-1&lt;=$L$2+$M$2+$N$2+$O$2,IFERROR(INDEX(PROFORMA!$A:$K,ROW()-1-$L$2-$M$2-$N$2+1,7),""),"")))))</f>
        <v>core</v>
      </c>
      <c r="H299" s="3" t="str">
        <f>IF(ROW()-1&lt;=0,"",IF(ROW()-1&lt;=$L$2,IFERROR(INDEX(MCQ!$A:$K,ROW()-1+1,8),""),IF(ROW()-1&lt;=$L$2+$M$2,IFERROR(INDEX(CLOZE_AB!$A:$K,ROW()-1-$L$2+1,8),""),IF(ROW()-1&lt;=$L$2+$M$2+$N$2,IFERROR(INDEX(CLOZE_LIST!$A:$K,ROW()-1-$L$2-$M$2+1,8),""),IF(ROW()-1&lt;=$L$2+$M$2+$N$2+$O$2,IFERROR(INDEX(PROFORMA!$A:$K,ROW()-1-$L$2-$M$2-$N$2+1,8),""),"")))))</f>
        <v>Y</v>
      </c>
      <c r="I299" s="3" t="str">
        <f>IF(ROW()-1&lt;=0,"",IF(ROW()-1&lt;=$L$2,IFERROR(INDEX(MCQ!$A:$K,ROW()-1+1,9),""),IF(ROW()-1&lt;=$L$2+$M$2,IFERROR(INDEX(CLOZE_AB!$A:$K,ROW()-1-$L$2+1,9),""),IF(ROW()-1&lt;=$L$2+$M$2+$N$2,IFERROR(INDEX(CLOZE_LIST!$A:$K,ROW()-1-$L$2-$M$2+1,9),""),IF(ROW()-1&lt;=$L$2+$M$2+$N$2+$O$2,IFERROR(INDEX(PROFORMA!$A:$K,ROW()-1-$L$2-$M$2-$N$2+1,9),""),"")))))</f>
        <v>split_year|overview</v>
      </c>
      <c r="J299" s="3" t="str">
        <f>IF(ROW()-1&lt;=0,"",IF(ROW()-1&lt;=$L$2,IFERROR(INDEX(MCQ!$A:$K,ROW()-1+1,10),""),IF(ROW()-1&lt;=$L$2+$M$2,IFERROR(INDEX(CLOZE_AB!$A:$K,ROW()-1-$L$2+1,10),""),IF(ROW()-1&lt;=$L$2+$M$2+$N$2,IFERROR(INDEX(CLOZE_LIST!$A:$K,ROW()-1-$L$2-$M$2+1,10),""),IF(ROW()-1&lt;=$L$2+$M$2+$N$2+$O$2,IFERROR(INDEX(PROFORMA!$A:$K,ROW()-1-$L$2-$M$2-$N$2+1,10),""),"")))))</f>
        <v>notes_user</v>
      </c>
      <c r="K299" s="3">
        <f>IF(ROW()-1&lt;=0,"",IF(ROW()-1&lt;=$L$2,IFERROR(INDEX(MCQ!$A:$K,ROW()-1+1,11),""),IF(ROW()-1&lt;=$L$2+$M$2,IFERROR(INDEX(CLOZE_AB!$A:$K,ROW()-1-$L$2+1,11),""),IF(ROW()-1&lt;=$L$2+$M$2+$N$2,IFERROR(INDEX(CLOZE_LIST!$A:$K,ROW()-1-$L$2-$M$2+1,11),""),IF(ROW()-1&lt;=$L$2+$M$2+$N$2+$O$2,IFERROR(INDEX(PROFORMA!$A:$K,ROW()-1-$L$2-$M$2-$N$2+1,11),""),"")))))</f>
        <v>1</v>
      </c>
      <c r="L299" s="3">
        <f>COUNTA(MCQ!$A:$A)-1</f>
        <v>122</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LIST_CGT_REQ_SPLITYR_002</v>
      </c>
      <c r="B300" s="3" t="str">
        <f>IF(ROW()-1&lt;=0,"",IF(ROW()-1&lt;=$L$2,IFERROR(INDEX(MCQ!$A:$K,ROW()-1+1,2),""),IF(ROW()-1&lt;=$L$2+$M$2,IFERROR(INDEX(CLOZE_AB!$A:$K,ROW()-1-$L$2+1,2),""),IF(ROW()-1&lt;=$L$2+$M$2+$N$2,IFERROR(INDEX(CLOZE_LIST!$A:$K,ROW()-1-$L$2-$M$2+1,2),""),IF(ROW()-1&lt;=$L$2+$M$2+$N$2+$O$2,IFERROR(INDEX(PROFORMA!$A:$K,ROW()-1-$L$2-$M$2-$N$2+1,2),""),"")))))</f>
        <v>Capital gains</v>
      </c>
      <c r="C300" s="3" t="str">
        <f>IF(ROW()-1&lt;=0,"",IF(ROW()-1&lt;=$L$2,IFERROR(INDEX(MCQ!$A:$K,ROW()-1+1,3),""),IF(ROW()-1&lt;=$L$2+$M$2,IFERROR(INDEX(CLOZE_AB!$A:$K,ROW()-1-$L$2+1,3),""),IF(ROW()-1&lt;=$L$2+$M$2+$N$2,IFERROR(INDEX(CLOZE_LIST!$A:$K,ROW()-1-$L$2-$M$2+1,3),""),IF(ROW()-1&lt;=$L$2+$M$2+$N$2+$O$2,IFERROR(INDEX(PROFORMA!$A:$K,ROW()-1-$L$2-$M$2-$N$2+1,3),""),"")))))</f>
        <v>requirements</v>
      </c>
      <c r="D300" s="3" t="str">
        <f>IF(ROW()-1&lt;=0,"",IF(ROW()-1&lt;=$L$2,IFERROR(INDEX(MCQ!$A:$K,ROW()-1+1,4),""),IF(ROW()-1&lt;=$L$2+$M$2,IFERROR(INDEX(CLOZE_AB!$A:$K,ROW()-1-$L$2+1,4),""),IF(ROW()-1&lt;=$L$2+$M$2+$N$2,IFERROR(INDEX(CLOZE_LIST!$A:$K,ROW()-1-$L$2-$M$2+1,4),""),IF(ROW()-1&lt;=$L$2+$M$2+$N$2+$O$2,IFERROR(INDEX(PROFORMA!$A:$K,ROW()-1-$L$2-$M$2-$N$2+1,4),""),"")))))</f>
        <v>Split-year treatment</v>
      </c>
      <c r="E300" s="3" t="str">
        <f>IF(ROW()-1&lt;=0,"",IF(ROW()-1&lt;=$L$2,IFERROR(INDEX(MCQ!$A:$K,ROW()-1+1,5),""),IF(ROW()-1&lt;=$L$2+$M$2,IFERROR(INDEX(CLOZE_AB!$A:$K,ROW()-1-$L$2+1,5),""),IF(ROW()-1&lt;=$L$2+$M$2+$N$2,IFERROR(INDEX(CLOZE_LIST!$A:$K,ROW()-1-$L$2-$M$2+1,5),""),IF(ROW()-1&lt;=$L$2+$M$2+$N$2+$O$2,IFERROR(INDEX(PROFORMA!$A:$K,ROW()-1-$L$2-$M$2-$N$2+1,5),""),"")))))</f>
        <v>cloze_list</v>
      </c>
      <c r="F300" s="3">
        <f>IF(ROW()-1&lt;=0,"",IF(ROW()-1&lt;=$L$2,IFERROR(INDEX(MCQ!$A:$K,ROW()-1+1,6),""),IF(ROW()-1&lt;=$L$2+$M$2,IFERROR(INDEX(CLOZE_AB!$A:$K,ROW()-1-$L$2+1,6),""),IF(ROW()-1&lt;=$L$2+$M$2+$N$2,IFERROR(INDEX(CLOZE_LIST!$A:$K,ROW()-1-$L$2-$M$2+1,6),""),IF(ROW()-1&lt;=$L$2+$M$2+$N$2+$O$2,IFERROR(INDEX(PROFORMA!$A:$K,ROW()-1-$L$2-$M$2-$N$2+1,6),""),"")))))</f>
        <v>3</v>
      </c>
      <c r="G300" s="3" t="str">
        <f>IF(ROW()-1&lt;=0,"",IF(ROW()-1&lt;=$L$2,IFERROR(INDEX(MCQ!$A:$K,ROW()-1+1,7),""),IF(ROW()-1&lt;=$L$2+$M$2,IFERROR(INDEX(CLOZE_AB!$A:$K,ROW()-1-$L$2+1,7),""),IF(ROW()-1&lt;=$L$2+$M$2+$N$2,IFERROR(INDEX(CLOZE_LIST!$A:$K,ROW()-1-$L$2-$M$2+1,7),""),IF(ROW()-1&lt;=$L$2+$M$2+$N$2+$O$2,IFERROR(INDEX(PROFORMA!$A:$K,ROW()-1-$L$2-$M$2-$N$2+1,7),""),"")))))</f>
        <v>core</v>
      </c>
      <c r="H300" s="3" t="str">
        <f>IF(ROW()-1&lt;=0,"",IF(ROW()-1&lt;=$L$2,IFERROR(INDEX(MCQ!$A:$K,ROW()-1+1,8),""),IF(ROW()-1&lt;=$L$2+$M$2,IFERROR(INDEX(CLOZE_AB!$A:$K,ROW()-1-$L$2+1,8),""),IF(ROW()-1&lt;=$L$2+$M$2+$N$2,IFERROR(INDEX(CLOZE_LIST!$A:$K,ROW()-1-$L$2-$M$2+1,8),""),IF(ROW()-1&lt;=$L$2+$M$2+$N$2+$O$2,IFERROR(INDEX(PROFORMA!$A:$K,ROW()-1-$L$2-$M$2-$N$2+1,8),""),"")))))</f>
        <v>Y</v>
      </c>
      <c r="I300" s="3" t="str">
        <f>IF(ROW()-1&lt;=0,"",IF(ROW()-1&lt;=$L$2,IFERROR(INDEX(MCQ!$A:$K,ROW()-1+1,9),""),IF(ROW()-1&lt;=$L$2+$M$2,IFERROR(INDEX(CLOZE_AB!$A:$K,ROW()-1-$L$2+1,9),""),IF(ROW()-1&lt;=$L$2+$M$2+$N$2,IFERROR(INDEX(CLOZE_LIST!$A:$K,ROW()-1-$L$2-$M$2+1,9),""),IF(ROW()-1&lt;=$L$2+$M$2+$N$2+$O$2,IFERROR(INDEX(PROFORMA!$A:$K,ROW()-1-$L$2-$M$2-$N$2+1,9),""),"")))))</f>
        <v>split_year|leaving</v>
      </c>
      <c r="J300" s="3" t="str">
        <f>IF(ROW()-1&lt;=0,"",IF(ROW()-1&lt;=$L$2,IFERROR(INDEX(MCQ!$A:$K,ROW()-1+1,10),""),IF(ROW()-1&lt;=$L$2+$M$2,IFERROR(INDEX(CLOZE_AB!$A:$K,ROW()-1-$L$2+1,10),""),IF(ROW()-1&lt;=$L$2+$M$2+$N$2,IFERROR(INDEX(CLOZE_LIST!$A:$K,ROW()-1-$L$2-$M$2+1,10),""),IF(ROW()-1&lt;=$L$2+$M$2+$N$2+$O$2,IFERROR(INDEX(PROFORMA!$A:$K,ROW()-1-$L$2-$M$2-$N$2+1,10),""),"")))))</f>
        <v>notes_user</v>
      </c>
      <c r="K300" s="3">
        <f>IF(ROW()-1&lt;=0,"",IF(ROW()-1&lt;=$L$2,IFERROR(INDEX(MCQ!$A:$K,ROW()-1+1,11),""),IF(ROW()-1&lt;=$L$2+$M$2,IFERROR(INDEX(CLOZE_AB!$A:$K,ROW()-1-$L$2+1,11),""),IF(ROW()-1&lt;=$L$2+$M$2+$N$2,IFERROR(INDEX(CLOZE_LIST!$A:$K,ROW()-1-$L$2-$M$2+1,11),""),IF(ROW()-1&lt;=$L$2+$M$2+$N$2+$O$2,IFERROR(INDEX(PROFORMA!$A:$K,ROW()-1-$L$2-$M$2-$N$2+1,11),""),"")))))</f>
        <v>1</v>
      </c>
      <c r="L300" s="3">
        <f>COUNTA(MCQ!$A:$A)-1</f>
        <v>122</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LIST_CGT_REQ_SPLITYR_003</v>
      </c>
      <c r="B301" s="3" t="str">
        <f>IF(ROW()-1&lt;=0,"",IF(ROW()-1&lt;=$L$2,IFERROR(INDEX(MCQ!$A:$K,ROW()-1+1,2),""),IF(ROW()-1&lt;=$L$2+$M$2,IFERROR(INDEX(CLOZE_AB!$A:$K,ROW()-1-$L$2+1,2),""),IF(ROW()-1&lt;=$L$2+$M$2+$N$2,IFERROR(INDEX(CLOZE_LIST!$A:$K,ROW()-1-$L$2-$M$2+1,2),""),IF(ROW()-1&lt;=$L$2+$M$2+$N$2+$O$2,IFERROR(INDEX(PROFORMA!$A:$K,ROW()-1-$L$2-$M$2-$N$2+1,2),""),"")))))</f>
        <v>Capital gains</v>
      </c>
      <c r="C301" s="3" t="str">
        <f>IF(ROW()-1&lt;=0,"",IF(ROW()-1&lt;=$L$2,IFERROR(INDEX(MCQ!$A:$K,ROW()-1+1,3),""),IF(ROW()-1&lt;=$L$2+$M$2,IFERROR(INDEX(CLOZE_AB!$A:$K,ROW()-1-$L$2+1,3),""),IF(ROW()-1&lt;=$L$2+$M$2+$N$2,IFERROR(INDEX(CLOZE_LIST!$A:$K,ROW()-1-$L$2-$M$2+1,3),""),IF(ROW()-1&lt;=$L$2+$M$2+$N$2+$O$2,IFERROR(INDEX(PROFORMA!$A:$K,ROW()-1-$L$2-$M$2-$N$2+1,3),""),"")))))</f>
        <v>requirements</v>
      </c>
      <c r="D301" s="3" t="str">
        <f>IF(ROW()-1&lt;=0,"",IF(ROW()-1&lt;=$L$2,IFERROR(INDEX(MCQ!$A:$K,ROW()-1+1,4),""),IF(ROW()-1&lt;=$L$2+$M$2,IFERROR(INDEX(CLOZE_AB!$A:$K,ROW()-1-$L$2+1,4),""),IF(ROW()-1&lt;=$L$2+$M$2+$N$2,IFERROR(INDEX(CLOZE_LIST!$A:$K,ROW()-1-$L$2-$M$2+1,4),""),IF(ROW()-1&lt;=$L$2+$M$2+$N$2+$O$2,IFERROR(INDEX(PROFORMA!$A:$K,ROW()-1-$L$2-$M$2-$N$2+1,4),""),"")))))</f>
        <v>Split-year treatment</v>
      </c>
      <c r="E301" s="3" t="str">
        <f>IF(ROW()-1&lt;=0,"",IF(ROW()-1&lt;=$L$2,IFERROR(INDEX(MCQ!$A:$K,ROW()-1+1,5),""),IF(ROW()-1&lt;=$L$2+$M$2,IFERROR(INDEX(CLOZE_AB!$A:$K,ROW()-1-$L$2+1,5),""),IF(ROW()-1&lt;=$L$2+$M$2+$N$2,IFERROR(INDEX(CLOZE_LIST!$A:$K,ROW()-1-$L$2-$M$2+1,5),""),IF(ROW()-1&lt;=$L$2+$M$2+$N$2+$O$2,IFERROR(INDEX(PROFORMA!$A:$K,ROW()-1-$L$2-$M$2-$N$2+1,5),""),"")))))</f>
        <v>cloze_list</v>
      </c>
      <c r="F301" s="3">
        <f>IF(ROW()-1&lt;=0,"",IF(ROW()-1&lt;=$L$2,IFERROR(INDEX(MCQ!$A:$K,ROW()-1+1,6),""),IF(ROW()-1&lt;=$L$2+$M$2,IFERROR(INDEX(CLOZE_AB!$A:$K,ROW()-1-$L$2+1,6),""),IF(ROW()-1&lt;=$L$2+$M$2+$N$2,IFERROR(INDEX(CLOZE_LIST!$A:$K,ROW()-1-$L$2-$M$2+1,6),""),IF(ROW()-1&lt;=$L$2+$M$2+$N$2+$O$2,IFERROR(INDEX(PROFORMA!$A:$K,ROW()-1-$L$2-$M$2-$N$2+1,6),""),"")))))</f>
        <v>3</v>
      </c>
      <c r="G301" s="3" t="str">
        <f>IF(ROW()-1&lt;=0,"",IF(ROW()-1&lt;=$L$2,IFERROR(INDEX(MCQ!$A:$K,ROW()-1+1,7),""),IF(ROW()-1&lt;=$L$2+$M$2,IFERROR(INDEX(CLOZE_AB!$A:$K,ROW()-1-$L$2+1,7),""),IF(ROW()-1&lt;=$L$2+$M$2+$N$2,IFERROR(INDEX(CLOZE_LIST!$A:$K,ROW()-1-$L$2-$M$2+1,7),""),IF(ROW()-1&lt;=$L$2+$M$2+$N$2+$O$2,IFERROR(INDEX(PROFORMA!$A:$K,ROW()-1-$L$2-$M$2-$N$2+1,7),""),"")))))</f>
        <v>core</v>
      </c>
      <c r="H301" s="3" t="str">
        <f>IF(ROW()-1&lt;=0,"",IF(ROW()-1&lt;=$L$2,IFERROR(INDEX(MCQ!$A:$K,ROW()-1+1,8),""),IF(ROW()-1&lt;=$L$2+$M$2,IFERROR(INDEX(CLOZE_AB!$A:$K,ROW()-1-$L$2+1,8),""),IF(ROW()-1&lt;=$L$2+$M$2+$N$2,IFERROR(INDEX(CLOZE_LIST!$A:$K,ROW()-1-$L$2-$M$2+1,8),""),IF(ROW()-1&lt;=$L$2+$M$2+$N$2+$O$2,IFERROR(INDEX(PROFORMA!$A:$K,ROW()-1-$L$2-$M$2-$N$2+1,8),""),"")))))</f>
        <v>Y</v>
      </c>
      <c r="I301" s="3" t="str">
        <f>IF(ROW()-1&lt;=0,"",IF(ROW()-1&lt;=$L$2,IFERROR(INDEX(MCQ!$A:$K,ROW()-1+1,9),""),IF(ROW()-1&lt;=$L$2+$M$2,IFERROR(INDEX(CLOZE_AB!$A:$K,ROW()-1-$L$2+1,9),""),IF(ROW()-1&lt;=$L$2+$M$2+$N$2,IFERROR(INDEX(CLOZE_LIST!$A:$K,ROW()-1-$L$2-$M$2+1,9),""),IF(ROW()-1&lt;=$L$2+$M$2+$N$2+$O$2,IFERROR(INDEX(PROFORMA!$A:$K,ROW()-1-$L$2-$M$2-$N$2+1,9),""),"")))))</f>
        <v>split_year|live_abroad</v>
      </c>
      <c r="J301" s="3" t="str">
        <f>IF(ROW()-1&lt;=0,"",IF(ROW()-1&lt;=$L$2,IFERROR(INDEX(MCQ!$A:$K,ROW()-1+1,10),""),IF(ROW()-1&lt;=$L$2+$M$2,IFERROR(INDEX(CLOZE_AB!$A:$K,ROW()-1-$L$2+1,10),""),IF(ROW()-1&lt;=$L$2+$M$2+$N$2,IFERROR(INDEX(CLOZE_LIST!$A:$K,ROW()-1-$L$2-$M$2+1,10),""),IF(ROW()-1&lt;=$L$2+$M$2+$N$2+$O$2,IFERROR(INDEX(PROFORMA!$A:$K,ROW()-1-$L$2-$M$2-$N$2+1,10),""),"")))))</f>
        <v>notes_user</v>
      </c>
      <c r="K301" s="3">
        <f>IF(ROW()-1&lt;=0,"",IF(ROW()-1&lt;=$L$2,IFERROR(INDEX(MCQ!$A:$K,ROW()-1+1,11),""),IF(ROW()-1&lt;=$L$2+$M$2,IFERROR(INDEX(CLOZE_AB!$A:$K,ROW()-1-$L$2+1,11),""),IF(ROW()-1&lt;=$L$2+$M$2+$N$2,IFERROR(INDEX(CLOZE_LIST!$A:$K,ROW()-1-$L$2-$M$2+1,11),""),IF(ROW()-1&lt;=$L$2+$M$2+$N$2+$O$2,IFERROR(INDEX(PROFORMA!$A:$K,ROW()-1-$L$2-$M$2-$N$2+1,11),""),"")))))</f>
        <v>1</v>
      </c>
      <c r="L301" s="3">
        <f>COUNTA(MCQ!$A:$A)-1</f>
        <v>122</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LIST_CGT_REQ_SPLITYR_004</v>
      </c>
      <c r="B302" s="3" t="str">
        <f>IF(ROW()-1&lt;=0,"",IF(ROW()-1&lt;=$L$2,IFERROR(INDEX(MCQ!$A:$K,ROW()-1+1,2),""),IF(ROW()-1&lt;=$L$2+$M$2,IFERROR(INDEX(CLOZE_AB!$A:$K,ROW()-1-$L$2+1,2),""),IF(ROW()-1&lt;=$L$2+$M$2+$N$2,IFERROR(INDEX(CLOZE_LIST!$A:$K,ROW()-1-$L$2-$M$2+1,2),""),IF(ROW()-1&lt;=$L$2+$M$2+$N$2+$O$2,IFERROR(INDEX(PROFORMA!$A:$K,ROW()-1-$L$2-$M$2-$N$2+1,2),""),"")))))</f>
        <v>Capital gains</v>
      </c>
      <c r="C302" s="3" t="str">
        <f>IF(ROW()-1&lt;=0,"",IF(ROW()-1&lt;=$L$2,IFERROR(INDEX(MCQ!$A:$K,ROW()-1+1,3),""),IF(ROW()-1&lt;=$L$2+$M$2,IFERROR(INDEX(CLOZE_AB!$A:$K,ROW()-1-$L$2+1,3),""),IF(ROW()-1&lt;=$L$2+$M$2+$N$2,IFERROR(INDEX(CLOZE_LIST!$A:$K,ROW()-1-$L$2-$M$2+1,3),""),IF(ROW()-1&lt;=$L$2+$M$2+$N$2+$O$2,IFERROR(INDEX(PROFORMA!$A:$K,ROW()-1-$L$2-$M$2-$N$2+1,3),""),"")))))</f>
        <v>requirements</v>
      </c>
      <c r="D302" s="3" t="str">
        <f>IF(ROW()-1&lt;=0,"",IF(ROW()-1&lt;=$L$2,IFERROR(INDEX(MCQ!$A:$K,ROW()-1+1,4),""),IF(ROW()-1&lt;=$L$2+$M$2,IFERROR(INDEX(CLOZE_AB!$A:$K,ROW()-1-$L$2+1,4),""),IF(ROW()-1&lt;=$L$2+$M$2+$N$2,IFERROR(INDEX(CLOZE_LIST!$A:$K,ROW()-1-$L$2-$M$2+1,4),""),IF(ROW()-1&lt;=$L$2+$M$2+$N$2+$O$2,IFERROR(INDEX(PROFORMA!$A:$K,ROW()-1-$L$2-$M$2-$N$2+1,4),""),"")))))</f>
        <v>Split-year treatment</v>
      </c>
      <c r="E302" s="3" t="str">
        <f>IF(ROW()-1&lt;=0,"",IF(ROW()-1&lt;=$L$2,IFERROR(INDEX(MCQ!$A:$K,ROW()-1+1,5),""),IF(ROW()-1&lt;=$L$2+$M$2,IFERROR(INDEX(CLOZE_AB!$A:$K,ROW()-1-$L$2+1,5),""),IF(ROW()-1&lt;=$L$2+$M$2+$N$2,IFERROR(INDEX(CLOZE_LIST!$A:$K,ROW()-1-$L$2-$M$2+1,5),""),IF(ROW()-1&lt;=$L$2+$M$2+$N$2+$O$2,IFERROR(INDEX(PROFORMA!$A:$K,ROW()-1-$L$2-$M$2-$N$2+1,5),""),"")))))</f>
        <v>cloze_list</v>
      </c>
      <c r="F302" s="3">
        <f>IF(ROW()-1&lt;=0,"",IF(ROW()-1&lt;=$L$2,IFERROR(INDEX(MCQ!$A:$K,ROW()-1+1,6),""),IF(ROW()-1&lt;=$L$2+$M$2,IFERROR(INDEX(CLOZE_AB!$A:$K,ROW()-1-$L$2+1,6),""),IF(ROW()-1&lt;=$L$2+$M$2+$N$2,IFERROR(INDEX(CLOZE_LIST!$A:$K,ROW()-1-$L$2-$M$2+1,6),""),IF(ROW()-1&lt;=$L$2+$M$2+$N$2+$O$2,IFERROR(INDEX(PROFORMA!$A:$K,ROW()-1-$L$2-$M$2-$N$2+1,6),""),"")))))</f>
        <v>3</v>
      </c>
      <c r="G302" s="3" t="str">
        <f>IF(ROW()-1&lt;=0,"",IF(ROW()-1&lt;=$L$2,IFERROR(INDEX(MCQ!$A:$K,ROW()-1+1,7),""),IF(ROW()-1&lt;=$L$2+$M$2,IFERROR(INDEX(CLOZE_AB!$A:$K,ROW()-1-$L$2+1,7),""),IF(ROW()-1&lt;=$L$2+$M$2+$N$2,IFERROR(INDEX(CLOZE_LIST!$A:$K,ROW()-1-$L$2-$M$2+1,7),""),IF(ROW()-1&lt;=$L$2+$M$2+$N$2+$O$2,IFERROR(INDEX(PROFORMA!$A:$K,ROW()-1-$L$2-$M$2-$N$2+1,7),""),"")))))</f>
        <v>core</v>
      </c>
      <c r="H302" s="3" t="str">
        <f>IF(ROW()-1&lt;=0,"",IF(ROW()-1&lt;=$L$2,IFERROR(INDEX(MCQ!$A:$K,ROW()-1+1,8),""),IF(ROW()-1&lt;=$L$2+$M$2,IFERROR(INDEX(CLOZE_AB!$A:$K,ROW()-1-$L$2+1,8),""),IF(ROW()-1&lt;=$L$2+$M$2+$N$2,IFERROR(INDEX(CLOZE_LIST!$A:$K,ROW()-1-$L$2-$M$2+1,8),""),IF(ROW()-1&lt;=$L$2+$M$2+$N$2+$O$2,IFERROR(INDEX(PROFORMA!$A:$K,ROW()-1-$L$2-$M$2-$N$2+1,8),""),"")))))</f>
        <v>Y</v>
      </c>
      <c r="I302" s="3" t="str">
        <f>IF(ROW()-1&lt;=0,"",IF(ROW()-1&lt;=$L$2,IFERROR(INDEX(MCQ!$A:$K,ROW()-1+1,9),""),IF(ROW()-1&lt;=$L$2+$M$2,IFERROR(INDEX(CLOZE_AB!$A:$K,ROW()-1-$L$2+1,9),""),IF(ROW()-1&lt;=$L$2+$M$2+$N$2,IFERROR(INDEX(CLOZE_LIST!$A:$K,ROW()-1-$L$2-$M$2+1,9),""),IF(ROW()-1&lt;=$L$2+$M$2+$N$2+$O$2,IFERROR(INDEX(PROFORMA!$A:$K,ROW()-1-$L$2-$M$2-$N$2+1,9),""),"")))))</f>
        <v>split_year|coming_home</v>
      </c>
      <c r="J302" s="3" t="str">
        <f>IF(ROW()-1&lt;=0,"",IF(ROW()-1&lt;=$L$2,IFERROR(INDEX(MCQ!$A:$K,ROW()-1+1,10),""),IF(ROW()-1&lt;=$L$2+$M$2,IFERROR(INDEX(CLOZE_AB!$A:$K,ROW()-1-$L$2+1,10),""),IF(ROW()-1&lt;=$L$2+$M$2+$N$2,IFERROR(INDEX(CLOZE_LIST!$A:$K,ROW()-1-$L$2-$M$2+1,10),""),IF(ROW()-1&lt;=$L$2+$M$2+$N$2+$O$2,IFERROR(INDEX(PROFORMA!$A:$K,ROW()-1-$L$2-$M$2-$N$2+1,10),""),"")))))</f>
        <v>notes_user</v>
      </c>
      <c r="K302" s="3">
        <f>IF(ROW()-1&lt;=0,"",IF(ROW()-1&lt;=$L$2,IFERROR(INDEX(MCQ!$A:$K,ROW()-1+1,11),""),IF(ROW()-1&lt;=$L$2+$M$2,IFERROR(INDEX(CLOZE_AB!$A:$K,ROW()-1-$L$2+1,11),""),IF(ROW()-1&lt;=$L$2+$M$2+$N$2,IFERROR(INDEX(CLOZE_LIST!$A:$K,ROW()-1-$L$2-$M$2+1,11),""),IF(ROW()-1&lt;=$L$2+$M$2+$N$2+$O$2,IFERROR(INDEX(PROFORMA!$A:$K,ROW()-1-$L$2-$M$2-$N$2+1,11),""),"")))))</f>
        <v>1</v>
      </c>
      <c r="L302" s="3">
        <f>COUNTA(MCQ!$A:$A)-1</f>
        <v>122</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LIST_CGT_REQ_SPLITYR_005</v>
      </c>
      <c r="B303" s="3" t="str">
        <f>IF(ROW()-1&lt;=0,"",IF(ROW()-1&lt;=$L$2,IFERROR(INDEX(MCQ!$A:$K,ROW()-1+1,2),""),IF(ROW()-1&lt;=$L$2+$M$2,IFERROR(INDEX(CLOZE_AB!$A:$K,ROW()-1-$L$2+1,2),""),IF(ROW()-1&lt;=$L$2+$M$2+$N$2,IFERROR(INDEX(CLOZE_LIST!$A:$K,ROW()-1-$L$2-$M$2+1,2),""),IF(ROW()-1&lt;=$L$2+$M$2+$N$2+$O$2,IFERROR(INDEX(PROFORMA!$A:$K,ROW()-1-$L$2-$M$2-$N$2+1,2),""),"")))))</f>
        <v>Capital gains</v>
      </c>
      <c r="C303" s="3" t="str">
        <f>IF(ROW()-1&lt;=0,"",IF(ROW()-1&lt;=$L$2,IFERROR(INDEX(MCQ!$A:$K,ROW()-1+1,3),""),IF(ROW()-1&lt;=$L$2+$M$2,IFERROR(INDEX(CLOZE_AB!$A:$K,ROW()-1-$L$2+1,3),""),IF(ROW()-1&lt;=$L$2+$M$2+$N$2,IFERROR(INDEX(CLOZE_LIST!$A:$K,ROW()-1-$L$2-$M$2+1,3),""),IF(ROW()-1&lt;=$L$2+$M$2+$N$2+$O$2,IFERROR(INDEX(PROFORMA!$A:$K,ROW()-1-$L$2-$M$2-$N$2+1,3),""),"")))))</f>
        <v>requirements</v>
      </c>
      <c r="D303" s="3" t="str">
        <f>IF(ROW()-1&lt;=0,"",IF(ROW()-1&lt;=$L$2,IFERROR(INDEX(MCQ!$A:$K,ROW()-1+1,4),""),IF(ROW()-1&lt;=$L$2+$M$2,IFERROR(INDEX(CLOZE_AB!$A:$K,ROW()-1-$L$2+1,4),""),IF(ROW()-1&lt;=$L$2+$M$2+$N$2,IFERROR(INDEX(CLOZE_LIST!$A:$K,ROW()-1-$L$2-$M$2+1,4),""),IF(ROW()-1&lt;=$L$2+$M$2+$N$2+$O$2,IFERROR(INDEX(PROFORMA!$A:$K,ROW()-1-$L$2-$M$2-$N$2+1,4),""),"")))))</f>
        <v>Split-year treatment</v>
      </c>
      <c r="E303" s="3" t="str">
        <f>IF(ROW()-1&lt;=0,"",IF(ROW()-1&lt;=$L$2,IFERROR(INDEX(MCQ!$A:$K,ROW()-1+1,5),""),IF(ROW()-1&lt;=$L$2+$M$2,IFERROR(INDEX(CLOZE_AB!$A:$K,ROW()-1-$L$2+1,5),""),IF(ROW()-1&lt;=$L$2+$M$2+$N$2,IFERROR(INDEX(CLOZE_LIST!$A:$K,ROW()-1-$L$2-$M$2+1,5),""),IF(ROW()-1&lt;=$L$2+$M$2+$N$2+$O$2,IFERROR(INDEX(PROFORMA!$A:$K,ROW()-1-$L$2-$M$2-$N$2+1,5),""),"")))))</f>
        <v>cloze_list</v>
      </c>
      <c r="F303" s="3">
        <f>IF(ROW()-1&lt;=0,"",IF(ROW()-1&lt;=$L$2,IFERROR(INDEX(MCQ!$A:$K,ROW()-1+1,6),""),IF(ROW()-1&lt;=$L$2+$M$2,IFERROR(INDEX(CLOZE_AB!$A:$K,ROW()-1-$L$2+1,6),""),IF(ROW()-1&lt;=$L$2+$M$2+$N$2,IFERROR(INDEX(CLOZE_LIST!$A:$K,ROW()-1-$L$2-$M$2+1,6),""),IF(ROW()-1&lt;=$L$2+$M$2+$N$2+$O$2,IFERROR(INDEX(PROFORMA!$A:$K,ROW()-1-$L$2-$M$2-$N$2+1,6),""),"")))))</f>
        <v>3</v>
      </c>
      <c r="G303" s="3" t="str">
        <f>IF(ROW()-1&lt;=0,"",IF(ROW()-1&lt;=$L$2,IFERROR(INDEX(MCQ!$A:$K,ROW()-1+1,7),""),IF(ROW()-1&lt;=$L$2+$M$2,IFERROR(INDEX(CLOZE_AB!$A:$K,ROW()-1-$L$2+1,7),""),IF(ROW()-1&lt;=$L$2+$M$2+$N$2,IFERROR(INDEX(CLOZE_LIST!$A:$K,ROW()-1-$L$2-$M$2+1,7),""),IF(ROW()-1&lt;=$L$2+$M$2+$N$2+$O$2,IFERROR(INDEX(PROFORMA!$A:$K,ROW()-1-$L$2-$M$2-$N$2+1,7),""),"")))))</f>
        <v>core</v>
      </c>
      <c r="H303" s="3" t="str">
        <f>IF(ROW()-1&lt;=0,"",IF(ROW()-1&lt;=$L$2,IFERROR(INDEX(MCQ!$A:$K,ROW()-1+1,8),""),IF(ROW()-1&lt;=$L$2+$M$2,IFERROR(INDEX(CLOZE_AB!$A:$K,ROW()-1-$L$2+1,8),""),IF(ROW()-1&lt;=$L$2+$M$2+$N$2,IFERROR(INDEX(CLOZE_LIST!$A:$K,ROW()-1-$L$2-$M$2+1,8),""),IF(ROW()-1&lt;=$L$2+$M$2+$N$2+$O$2,IFERROR(INDEX(PROFORMA!$A:$K,ROW()-1-$L$2-$M$2-$N$2+1,8),""),"")))))</f>
        <v>Y</v>
      </c>
      <c r="I303" s="3" t="str">
        <f>IF(ROW()-1&lt;=0,"",IF(ROW()-1&lt;=$L$2,IFERROR(INDEX(MCQ!$A:$K,ROW()-1+1,9),""),IF(ROW()-1&lt;=$L$2+$M$2,IFERROR(INDEX(CLOZE_AB!$A:$K,ROW()-1-$L$2+1,9),""),IF(ROW()-1&lt;=$L$2+$M$2+$N$2,IFERROR(INDEX(CLOZE_LIST!$A:$K,ROW()-1-$L$2-$M$2+1,9),""),IF(ROW()-1&lt;=$L$2+$M$2+$N$2+$O$2,IFERROR(INDEX(PROFORMA!$A:$K,ROW()-1-$L$2-$M$2-$N$2+1,9),""),"")))))</f>
        <v>split_year|coming_work</v>
      </c>
      <c r="J303" s="3" t="str">
        <f>IF(ROW()-1&lt;=0,"",IF(ROW()-1&lt;=$L$2,IFERROR(INDEX(MCQ!$A:$K,ROW()-1+1,10),""),IF(ROW()-1&lt;=$L$2+$M$2,IFERROR(INDEX(CLOZE_AB!$A:$K,ROW()-1-$L$2+1,10),""),IF(ROW()-1&lt;=$L$2+$M$2+$N$2,IFERROR(INDEX(CLOZE_LIST!$A:$K,ROW()-1-$L$2-$M$2+1,10),""),IF(ROW()-1&lt;=$L$2+$M$2+$N$2+$O$2,IFERROR(INDEX(PROFORMA!$A:$K,ROW()-1-$L$2-$M$2-$N$2+1,10),""),"")))))</f>
        <v>notes_user</v>
      </c>
      <c r="K303" s="3">
        <f>IF(ROW()-1&lt;=0,"",IF(ROW()-1&lt;=$L$2,IFERROR(INDEX(MCQ!$A:$K,ROW()-1+1,11),""),IF(ROW()-1&lt;=$L$2+$M$2,IFERROR(INDEX(CLOZE_AB!$A:$K,ROW()-1-$L$2+1,11),""),IF(ROW()-1&lt;=$L$2+$M$2+$N$2,IFERROR(INDEX(CLOZE_LIST!$A:$K,ROW()-1-$L$2-$M$2+1,11),""),IF(ROW()-1&lt;=$L$2+$M$2+$N$2+$O$2,IFERROR(INDEX(PROFORMA!$A:$K,ROW()-1-$L$2-$M$2-$N$2+1,11),""),"")))))</f>
        <v>1</v>
      </c>
      <c r="L303" s="3">
        <f>COUNTA(MCQ!$A:$A)-1</f>
        <v>122</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LIST_CGT_REQ_SPLITYR_006</v>
      </c>
      <c r="B304" s="3" t="str">
        <f>IF(ROW()-1&lt;=0,"",IF(ROW()-1&lt;=$L$2,IFERROR(INDEX(MCQ!$A:$K,ROW()-1+1,2),""),IF(ROW()-1&lt;=$L$2+$M$2,IFERROR(INDEX(CLOZE_AB!$A:$K,ROW()-1-$L$2+1,2),""),IF(ROW()-1&lt;=$L$2+$M$2+$N$2,IFERROR(INDEX(CLOZE_LIST!$A:$K,ROW()-1-$L$2-$M$2+1,2),""),IF(ROW()-1&lt;=$L$2+$M$2+$N$2+$O$2,IFERROR(INDEX(PROFORMA!$A:$K,ROW()-1-$L$2-$M$2-$N$2+1,2),""),"")))))</f>
        <v>Capital gains</v>
      </c>
      <c r="C304" s="3" t="str">
        <f>IF(ROW()-1&lt;=0,"",IF(ROW()-1&lt;=$L$2,IFERROR(INDEX(MCQ!$A:$K,ROW()-1+1,3),""),IF(ROW()-1&lt;=$L$2+$M$2,IFERROR(INDEX(CLOZE_AB!$A:$K,ROW()-1-$L$2+1,3),""),IF(ROW()-1&lt;=$L$2+$M$2+$N$2,IFERROR(INDEX(CLOZE_LIST!$A:$K,ROW()-1-$L$2-$M$2+1,3),""),IF(ROW()-1&lt;=$L$2+$M$2+$N$2+$O$2,IFERROR(INDEX(PROFORMA!$A:$K,ROW()-1-$L$2-$M$2-$N$2+1,3),""),"")))))</f>
        <v>requirements</v>
      </c>
      <c r="D304" s="3" t="str">
        <f>IF(ROW()-1&lt;=0,"",IF(ROW()-1&lt;=$L$2,IFERROR(INDEX(MCQ!$A:$K,ROW()-1+1,4),""),IF(ROW()-1&lt;=$L$2+$M$2,IFERROR(INDEX(CLOZE_AB!$A:$K,ROW()-1-$L$2+1,4),""),IF(ROW()-1&lt;=$L$2+$M$2+$N$2,IFERROR(INDEX(CLOZE_LIST!$A:$K,ROW()-1-$L$2-$M$2+1,4),""),IF(ROW()-1&lt;=$L$2+$M$2+$N$2+$O$2,IFERROR(INDEX(PROFORMA!$A:$K,ROW()-1-$L$2-$M$2-$N$2+1,4),""),"")))))</f>
        <v>Split-year treatment</v>
      </c>
      <c r="E304" s="3" t="str">
        <f>IF(ROW()-1&lt;=0,"",IF(ROW()-1&lt;=$L$2,IFERROR(INDEX(MCQ!$A:$K,ROW()-1+1,5),""),IF(ROW()-1&lt;=$L$2+$M$2,IFERROR(INDEX(CLOZE_AB!$A:$K,ROW()-1-$L$2+1,5),""),IF(ROW()-1&lt;=$L$2+$M$2+$N$2,IFERROR(INDEX(CLOZE_LIST!$A:$K,ROW()-1-$L$2-$M$2+1,5),""),IF(ROW()-1&lt;=$L$2+$M$2+$N$2+$O$2,IFERROR(INDEX(PROFORMA!$A:$K,ROW()-1-$L$2-$M$2-$N$2+1,5),""),"")))))</f>
        <v>cloze_list</v>
      </c>
      <c r="F304" s="3">
        <f>IF(ROW()-1&lt;=0,"",IF(ROW()-1&lt;=$L$2,IFERROR(INDEX(MCQ!$A:$K,ROW()-1+1,6),""),IF(ROW()-1&lt;=$L$2+$M$2,IFERROR(INDEX(CLOZE_AB!$A:$K,ROW()-1-$L$2+1,6),""),IF(ROW()-1&lt;=$L$2+$M$2+$N$2,IFERROR(INDEX(CLOZE_LIST!$A:$K,ROW()-1-$L$2-$M$2+1,6),""),IF(ROW()-1&lt;=$L$2+$M$2+$N$2+$O$2,IFERROR(INDEX(PROFORMA!$A:$K,ROW()-1-$L$2-$M$2-$N$2+1,6),""),"")))))</f>
        <v>3</v>
      </c>
      <c r="G304" s="3" t="str">
        <f>IF(ROW()-1&lt;=0,"",IF(ROW()-1&lt;=$L$2,IFERROR(INDEX(MCQ!$A:$K,ROW()-1+1,7),""),IF(ROW()-1&lt;=$L$2+$M$2,IFERROR(INDEX(CLOZE_AB!$A:$K,ROW()-1-$L$2+1,7),""),IF(ROW()-1&lt;=$L$2+$M$2+$N$2,IFERROR(INDEX(CLOZE_LIST!$A:$K,ROW()-1-$L$2-$M$2+1,7),""),IF(ROW()-1&lt;=$L$2+$M$2+$N$2+$O$2,IFERROR(INDEX(PROFORMA!$A:$K,ROW()-1-$L$2-$M$2-$N$2+1,7),""),"")))))</f>
        <v>core</v>
      </c>
      <c r="H304" s="3" t="str">
        <f>IF(ROW()-1&lt;=0,"",IF(ROW()-1&lt;=$L$2,IFERROR(INDEX(MCQ!$A:$K,ROW()-1+1,8),""),IF(ROW()-1&lt;=$L$2+$M$2,IFERROR(INDEX(CLOZE_AB!$A:$K,ROW()-1-$L$2+1,8),""),IF(ROW()-1&lt;=$L$2+$M$2+$N$2,IFERROR(INDEX(CLOZE_LIST!$A:$K,ROW()-1-$L$2-$M$2+1,8),""),IF(ROW()-1&lt;=$L$2+$M$2+$N$2+$O$2,IFERROR(INDEX(PROFORMA!$A:$K,ROW()-1-$L$2-$M$2-$N$2+1,8),""),"")))))</f>
        <v>Y</v>
      </c>
      <c r="I304" s="3" t="str">
        <f>IF(ROW()-1&lt;=0,"",IF(ROW()-1&lt;=$L$2,IFERROR(INDEX(MCQ!$A:$K,ROW()-1+1,9),""),IF(ROW()-1&lt;=$L$2+$M$2,IFERROR(INDEX(CLOZE_AB!$A:$K,ROW()-1-$L$2+1,9),""),IF(ROW()-1&lt;=$L$2+$M$2+$N$2,IFERROR(INDEX(CLOZE_LIST!$A:$K,ROW()-1-$L$2-$M$2+1,9),""),IF(ROW()-1&lt;=$L$2+$M$2+$N$2+$O$2,IFERROR(INDEX(PROFORMA!$A:$K,ROW()-1-$L$2-$M$2-$N$2+1,9),""),"")))))</f>
        <v>split_year|returning</v>
      </c>
      <c r="J304" s="3" t="str">
        <f>IF(ROW()-1&lt;=0,"",IF(ROW()-1&lt;=$L$2,IFERROR(INDEX(MCQ!$A:$K,ROW()-1+1,10),""),IF(ROW()-1&lt;=$L$2+$M$2,IFERROR(INDEX(CLOZE_AB!$A:$K,ROW()-1-$L$2+1,10),""),IF(ROW()-1&lt;=$L$2+$M$2+$N$2,IFERROR(INDEX(CLOZE_LIST!$A:$K,ROW()-1-$L$2-$M$2+1,10),""),IF(ROW()-1&lt;=$L$2+$M$2+$N$2+$O$2,IFERROR(INDEX(PROFORMA!$A:$K,ROW()-1-$L$2-$M$2-$N$2+1,10),""),"")))))</f>
        <v>notes_user</v>
      </c>
      <c r="K304" s="3">
        <f>IF(ROW()-1&lt;=0,"",IF(ROW()-1&lt;=$L$2,IFERROR(INDEX(MCQ!$A:$K,ROW()-1+1,11),""),IF(ROW()-1&lt;=$L$2+$M$2,IFERROR(INDEX(CLOZE_AB!$A:$K,ROW()-1-$L$2+1,11),""),IF(ROW()-1&lt;=$L$2+$M$2+$N$2,IFERROR(INDEX(CLOZE_LIST!$A:$K,ROW()-1-$L$2-$M$2+1,11),""),IF(ROW()-1&lt;=$L$2+$M$2+$N$2+$O$2,IFERROR(INDEX(PROFORMA!$A:$K,ROW()-1-$L$2-$M$2-$N$2+1,11),""),"")))))</f>
        <v>1</v>
      </c>
      <c r="L304" s="3">
        <f>COUNTA(MCQ!$A:$A)-1</f>
        <v>122</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LIST_CGT_REQ_RESDOM_001</v>
      </c>
      <c r="B305" s="3" t="str">
        <f>IF(ROW()-1&lt;=0,"",IF(ROW()-1&lt;=$L$2,IFERROR(INDEX(MCQ!$A:$K,ROW()-1+1,2),""),IF(ROW()-1&lt;=$L$2+$M$2,IFERROR(INDEX(CLOZE_AB!$A:$K,ROW()-1-$L$2+1,2),""),IF(ROW()-1&lt;=$L$2+$M$2+$N$2,IFERROR(INDEX(CLOZE_LIST!$A:$K,ROW()-1-$L$2-$M$2+1,2),""),IF(ROW()-1&lt;=$L$2+$M$2+$N$2+$O$2,IFERROR(INDEX(PROFORMA!$A:$K,ROW()-1-$L$2-$M$2-$N$2+1,2),""),"")))))</f>
        <v>Capital gains</v>
      </c>
      <c r="C305" s="3" t="str">
        <f>IF(ROW()-1&lt;=0,"",IF(ROW()-1&lt;=$L$2,IFERROR(INDEX(MCQ!$A:$K,ROW()-1+1,3),""),IF(ROW()-1&lt;=$L$2+$M$2,IFERROR(INDEX(CLOZE_AB!$A:$K,ROW()-1-$L$2+1,3),""),IF(ROW()-1&lt;=$L$2+$M$2+$N$2,IFERROR(INDEX(CLOZE_LIST!$A:$K,ROW()-1-$L$2-$M$2+1,3),""),IF(ROW()-1&lt;=$L$2+$M$2+$N$2+$O$2,IFERROR(INDEX(PROFORMA!$A:$K,ROW()-1-$L$2-$M$2-$N$2+1,3),""),"")))))</f>
        <v>requirements</v>
      </c>
      <c r="D305" s="3" t="str">
        <f>IF(ROW()-1&lt;=0,"",IF(ROW()-1&lt;=$L$2,IFERROR(INDEX(MCQ!$A:$K,ROW()-1+1,4),""),IF(ROW()-1&lt;=$L$2+$M$2,IFERROR(INDEX(CLOZE_AB!$A:$K,ROW()-1-$L$2+1,4),""),IF(ROW()-1&lt;=$L$2+$M$2+$N$2,IFERROR(INDEX(CLOZE_LIST!$A:$K,ROW()-1-$L$2-$M$2+1,4),""),IF(ROW()-1&lt;=$L$2+$M$2+$N$2+$O$2,IFERROR(INDEX(PROFORMA!$A:$K,ROW()-1-$L$2-$M$2-$N$2+1,4),""),"")))))</f>
        <v>Residency, domicile and deemed domicile</v>
      </c>
      <c r="E305" s="3" t="str">
        <f>IF(ROW()-1&lt;=0,"",IF(ROW()-1&lt;=$L$2,IFERROR(INDEX(MCQ!$A:$K,ROW()-1+1,5),""),IF(ROW()-1&lt;=$L$2+$M$2,IFERROR(INDEX(CLOZE_AB!$A:$K,ROW()-1-$L$2+1,5),""),IF(ROW()-1&lt;=$L$2+$M$2+$N$2,IFERROR(INDEX(CLOZE_LIST!$A:$K,ROW()-1-$L$2-$M$2+1,5),""),IF(ROW()-1&lt;=$L$2+$M$2+$N$2+$O$2,IFERROR(INDEX(PROFORMA!$A:$K,ROW()-1-$L$2-$M$2-$N$2+1,5),""),"")))))</f>
        <v>cloze_list</v>
      </c>
      <c r="F305" s="3">
        <f>IF(ROW()-1&lt;=0,"",IF(ROW()-1&lt;=$L$2,IFERROR(INDEX(MCQ!$A:$K,ROW()-1+1,6),""),IF(ROW()-1&lt;=$L$2+$M$2,IFERROR(INDEX(CLOZE_AB!$A:$K,ROW()-1-$L$2+1,6),""),IF(ROW()-1&lt;=$L$2+$M$2+$N$2,IFERROR(INDEX(CLOZE_LIST!$A:$K,ROW()-1-$L$2-$M$2+1,6),""),IF(ROW()-1&lt;=$L$2+$M$2+$N$2+$O$2,IFERROR(INDEX(PROFORMA!$A:$K,ROW()-1-$L$2-$M$2-$N$2+1,6),""),"")))))</f>
        <v>3</v>
      </c>
      <c r="G305" s="3" t="str">
        <f>IF(ROW()-1&lt;=0,"",IF(ROW()-1&lt;=$L$2,IFERROR(INDEX(MCQ!$A:$K,ROW()-1+1,7),""),IF(ROW()-1&lt;=$L$2+$M$2,IFERROR(INDEX(CLOZE_AB!$A:$K,ROW()-1-$L$2+1,7),""),IF(ROW()-1&lt;=$L$2+$M$2+$N$2,IFERROR(INDEX(CLOZE_LIST!$A:$K,ROW()-1-$L$2-$M$2+1,7),""),IF(ROW()-1&lt;=$L$2+$M$2+$N$2+$O$2,IFERROR(INDEX(PROFORMA!$A:$K,ROW()-1-$L$2-$M$2-$N$2+1,7),""),"")))))</f>
        <v>core</v>
      </c>
      <c r="H305" s="3" t="str">
        <f>IF(ROW()-1&lt;=0,"",IF(ROW()-1&lt;=$L$2,IFERROR(INDEX(MCQ!$A:$K,ROW()-1+1,8),""),IF(ROW()-1&lt;=$L$2+$M$2,IFERROR(INDEX(CLOZE_AB!$A:$K,ROW()-1-$L$2+1,8),""),IF(ROW()-1&lt;=$L$2+$M$2+$N$2,IFERROR(INDEX(CLOZE_LIST!$A:$K,ROW()-1-$L$2-$M$2+1,8),""),IF(ROW()-1&lt;=$L$2+$M$2+$N$2+$O$2,IFERROR(INDEX(PROFORMA!$A:$K,ROW()-1-$L$2-$M$2-$N$2+1,8),""),"")))))</f>
        <v>Y</v>
      </c>
      <c r="I305" s="3" t="str">
        <f>IF(ROW()-1&lt;=0,"",IF(ROW()-1&lt;=$L$2,IFERROR(INDEX(MCQ!$A:$K,ROW()-1+1,9),""),IF(ROW()-1&lt;=$L$2+$M$2,IFERROR(INDEX(CLOZE_AB!$A:$K,ROW()-1-$L$2+1,9),""),IF(ROW()-1&lt;=$L$2+$M$2+$N$2,IFERROR(INDEX(CLOZE_LIST!$A:$K,ROW()-1-$L$2-$M$2+1,9),""),IF(ROW()-1&lt;=$L$2+$M$2+$N$2+$O$2,IFERROR(INDEX(PROFORMA!$A:$K,ROW()-1-$L$2-$M$2-$N$2+1,9),""),"")))))</f>
        <v>residency|auto_overseas</v>
      </c>
      <c r="J305" s="3" t="str">
        <f>IF(ROW()-1&lt;=0,"",IF(ROW()-1&lt;=$L$2,IFERROR(INDEX(MCQ!$A:$K,ROW()-1+1,10),""),IF(ROW()-1&lt;=$L$2+$M$2,IFERROR(INDEX(CLOZE_AB!$A:$K,ROW()-1-$L$2+1,10),""),IF(ROW()-1&lt;=$L$2+$M$2+$N$2,IFERROR(INDEX(CLOZE_LIST!$A:$K,ROW()-1-$L$2-$M$2+1,10),""),IF(ROW()-1&lt;=$L$2+$M$2+$N$2+$O$2,IFERROR(INDEX(PROFORMA!$A:$K,ROW()-1-$L$2-$M$2-$N$2+1,10),""),"")))))</f>
        <v>notes_user</v>
      </c>
      <c r="K305" s="3">
        <f>IF(ROW()-1&lt;=0,"",IF(ROW()-1&lt;=$L$2,IFERROR(INDEX(MCQ!$A:$K,ROW()-1+1,11),""),IF(ROW()-1&lt;=$L$2+$M$2,IFERROR(INDEX(CLOZE_AB!$A:$K,ROW()-1-$L$2+1,11),""),IF(ROW()-1&lt;=$L$2+$M$2+$N$2,IFERROR(INDEX(CLOZE_LIST!$A:$K,ROW()-1-$L$2-$M$2+1,11),""),IF(ROW()-1&lt;=$L$2+$M$2+$N$2+$O$2,IFERROR(INDEX(PROFORMA!$A:$K,ROW()-1-$L$2-$M$2-$N$2+1,11),""),"")))))</f>
        <v>1</v>
      </c>
      <c r="L305" s="3">
        <f>COUNTA(MCQ!$A:$A)-1</f>
        <v>122</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LIST_CGT_REQ_RESDOM_002</v>
      </c>
      <c r="B306" s="3" t="str">
        <f>IF(ROW()-1&lt;=0,"",IF(ROW()-1&lt;=$L$2,IFERROR(INDEX(MCQ!$A:$K,ROW()-1+1,2),""),IF(ROW()-1&lt;=$L$2+$M$2,IFERROR(INDEX(CLOZE_AB!$A:$K,ROW()-1-$L$2+1,2),""),IF(ROW()-1&lt;=$L$2+$M$2+$N$2,IFERROR(INDEX(CLOZE_LIST!$A:$K,ROW()-1-$L$2-$M$2+1,2),""),IF(ROW()-1&lt;=$L$2+$M$2+$N$2+$O$2,IFERROR(INDEX(PROFORMA!$A:$K,ROW()-1-$L$2-$M$2-$N$2+1,2),""),"")))))</f>
        <v>Capital gains</v>
      </c>
      <c r="C306" s="3" t="str">
        <f>IF(ROW()-1&lt;=0,"",IF(ROW()-1&lt;=$L$2,IFERROR(INDEX(MCQ!$A:$K,ROW()-1+1,3),""),IF(ROW()-1&lt;=$L$2+$M$2,IFERROR(INDEX(CLOZE_AB!$A:$K,ROW()-1-$L$2+1,3),""),IF(ROW()-1&lt;=$L$2+$M$2+$N$2,IFERROR(INDEX(CLOZE_LIST!$A:$K,ROW()-1-$L$2-$M$2+1,3),""),IF(ROW()-1&lt;=$L$2+$M$2+$N$2+$O$2,IFERROR(INDEX(PROFORMA!$A:$K,ROW()-1-$L$2-$M$2-$N$2+1,3),""),"")))))</f>
        <v>requirements</v>
      </c>
      <c r="D306" s="3" t="str">
        <f>IF(ROW()-1&lt;=0,"",IF(ROW()-1&lt;=$L$2,IFERROR(INDEX(MCQ!$A:$K,ROW()-1+1,4),""),IF(ROW()-1&lt;=$L$2+$M$2,IFERROR(INDEX(CLOZE_AB!$A:$K,ROW()-1-$L$2+1,4),""),IF(ROW()-1&lt;=$L$2+$M$2+$N$2,IFERROR(INDEX(CLOZE_LIST!$A:$K,ROW()-1-$L$2-$M$2+1,4),""),IF(ROW()-1&lt;=$L$2+$M$2+$N$2+$O$2,IFERROR(INDEX(PROFORMA!$A:$K,ROW()-1-$L$2-$M$2-$N$2+1,4),""),"")))))</f>
        <v>Residency, domicile and deemed domicile</v>
      </c>
      <c r="E306" s="3" t="str">
        <f>IF(ROW()-1&lt;=0,"",IF(ROW()-1&lt;=$L$2,IFERROR(INDEX(MCQ!$A:$K,ROW()-1+1,5),""),IF(ROW()-1&lt;=$L$2+$M$2,IFERROR(INDEX(CLOZE_AB!$A:$K,ROW()-1-$L$2+1,5),""),IF(ROW()-1&lt;=$L$2+$M$2+$N$2,IFERROR(INDEX(CLOZE_LIST!$A:$K,ROW()-1-$L$2-$M$2+1,5),""),IF(ROW()-1&lt;=$L$2+$M$2+$N$2+$O$2,IFERROR(INDEX(PROFORMA!$A:$K,ROW()-1-$L$2-$M$2-$N$2+1,5),""),"")))))</f>
        <v>cloze_list</v>
      </c>
      <c r="F306" s="3">
        <f>IF(ROW()-1&lt;=0,"",IF(ROW()-1&lt;=$L$2,IFERROR(INDEX(MCQ!$A:$K,ROW()-1+1,6),""),IF(ROW()-1&lt;=$L$2+$M$2,IFERROR(INDEX(CLOZE_AB!$A:$K,ROW()-1-$L$2+1,6),""),IF(ROW()-1&lt;=$L$2+$M$2+$N$2,IFERROR(INDEX(CLOZE_LIST!$A:$K,ROW()-1-$L$2-$M$2+1,6),""),IF(ROW()-1&lt;=$L$2+$M$2+$N$2+$O$2,IFERROR(INDEX(PROFORMA!$A:$K,ROW()-1-$L$2-$M$2-$N$2+1,6),""),"")))))</f>
        <v>3</v>
      </c>
      <c r="G306" s="3" t="str">
        <f>IF(ROW()-1&lt;=0,"",IF(ROW()-1&lt;=$L$2,IFERROR(INDEX(MCQ!$A:$K,ROW()-1+1,7),""),IF(ROW()-1&lt;=$L$2+$M$2,IFERROR(INDEX(CLOZE_AB!$A:$K,ROW()-1-$L$2+1,7),""),IF(ROW()-1&lt;=$L$2+$M$2+$N$2,IFERROR(INDEX(CLOZE_LIST!$A:$K,ROW()-1-$L$2-$M$2+1,7),""),IF(ROW()-1&lt;=$L$2+$M$2+$N$2+$O$2,IFERROR(INDEX(PROFORMA!$A:$K,ROW()-1-$L$2-$M$2-$N$2+1,7),""),"")))))</f>
        <v>core</v>
      </c>
      <c r="H306" s="3" t="str">
        <f>IF(ROW()-1&lt;=0,"",IF(ROW()-1&lt;=$L$2,IFERROR(INDEX(MCQ!$A:$K,ROW()-1+1,8),""),IF(ROW()-1&lt;=$L$2+$M$2,IFERROR(INDEX(CLOZE_AB!$A:$K,ROW()-1-$L$2+1,8),""),IF(ROW()-1&lt;=$L$2+$M$2+$N$2,IFERROR(INDEX(CLOZE_LIST!$A:$K,ROW()-1-$L$2-$M$2+1,8),""),IF(ROW()-1&lt;=$L$2+$M$2+$N$2+$O$2,IFERROR(INDEX(PROFORMA!$A:$K,ROW()-1-$L$2-$M$2-$N$2+1,8),""),"")))))</f>
        <v>Y</v>
      </c>
      <c r="I306" s="3" t="str">
        <f>IF(ROW()-1&lt;=0,"",IF(ROW()-1&lt;=$L$2,IFERROR(INDEX(MCQ!$A:$K,ROW()-1+1,9),""),IF(ROW()-1&lt;=$L$2+$M$2,IFERROR(INDEX(CLOZE_AB!$A:$K,ROW()-1-$L$2+1,9),""),IF(ROW()-1&lt;=$L$2+$M$2+$N$2,IFERROR(INDEX(CLOZE_LIST!$A:$K,ROW()-1-$L$2-$M$2+1,9),""),IF(ROW()-1&lt;=$L$2+$M$2+$N$2+$O$2,IFERROR(INDEX(PROFORMA!$A:$K,ROW()-1-$L$2-$M$2-$N$2+1,9),""),"")))))</f>
        <v>residency|auto_overseas</v>
      </c>
      <c r="J306" s="3" t="str">
        <f>IF(ROW()-1&lt;=0,"",IF(ROW()-1&lt;=$L$2,IFERROR(INDEX(MCQ!$A:$K,ROW()-1+1,10),""),IF(ROW()-1&lt;=$L$2+$M$2,IFERROR(INDEX(CLOZE_AB!$A:$K,ROW()-1-$L$2+1,10),""),IF(ROW()-1&lt;=$L$2+$M$2+$N$2,IFERROR(INDEX(CLOZE_LIST!$A:$K,ROW()-1-$L$2-$M$2+1,10),""),IF(ROW()-1&lt;=$L$2+$M$2+$N$2+$O$2,IFERROR(INDEX(PROFORMA!$A:$K,ROW()-1-$L$2-$M$2-$N$2+1,10),""),"")))))</f>
        <v>notes_user</v>
      </c>
      <c r="K306" s="3">
        <f>IF(ROW()-1&lt;=0,"",IF(ROW()-1&lt;=$L$2,IFERROR(INDEX(MCQ!$A:$K,ROW()-1+1,11),""),IF(ROW()-1&lt;=$L$2+$M$2,IFERROR(INDEX(CLOZE_AB!$A:$K,ROW()-1-$L$2+1,11),""),IF(ROW()-1&lt;=$L$2+$M$2+$N$2,IFERROR(INDEX(CLOZE_LIST!$A:$K,ROW()-1-$L$2-$M$2+1,11),""),IF(ROW()-1&lt;=$L$2+$M$2+$N$2+$O$2,IFERROR(INDEX(PROFORMA!$A:$K,ROW()-1-$L$2-$M$2-$N$2+1,11),""),"")))))</f>
        <v>1</v>
      </c>
      <c r="L306" s="3">
        <f>COUNTA(MCQ!$A:$A)-1</f>
        <v>122</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LIST_CGT_REQ_RESDOM_003</v>
      </c>
      <c r="B307" s="3" t="str">
        <f>IF(ROW()-1&lt;=0,"",IF(ROW()-1&lt;=$L$2,IFERROR(INDEX(MCQ!$A:$K,ROW()-1+1,2),""),IF(ROW()-1&lt;=$L$2+$M$2,IFERROR(INDEX(CLOZE_AB!$A:$K,ROW()-1-$L$2+1,2),""),IF(ROW()-1&lt;=$L$2+$M$2+$N$2,IFERROR(INDEX(CLOZE_LIST!$A:$K,ROW()-1-$L$2-$M$2+1,2),""),IF(ROW()-1&lt;=$L$2+$M$2+$N$2+$O$2,IFERROR(INDEX(PROFORMA!$A:$K,ROW()-1-$L$2-$M$2-$N$2+1,2),""),"")))))</f>
        <v>Capital gains</v>
      </c>
      <c r="C307" s="3" t="str">
        <f>IF(ROW()-1&lt;=0,"",IF(ROW()-1&lt;=$L$2,IFERROR(INDEX(MCQ!$A:$K,ROW()-1+1,3),""),IF(ROW()-1&lt;=$L$2+$M$2,IFERROR(INDEX(CLOZE_AB!$A:$K,ROW()-1-$L$2+1,3),""),IF(ROW()-1&lt;=$L$2+$M$2+$N$2,IFERROR(INDEX(CLOZE_LIST!$A:$K,ROW()-1-$L$2-$M$2+1,3),""),IF(ROW()-1&lt;=$L$2+$M$2+$N$2+$O$2,IFERROR(INDEX(PROFORMA!$A:$K,ROW()-1-$L$2-$M$2-$N$2+1,3),""),"")))))</f>
        <v>requirements</v>
      </c>
      <c r="D307" s="3" t="str">
        <f>IF(ROW()-1&lt;=0,"",IF(ROW()-1&lt;=$L$2,IFERROR(INDEX(MCQ!$A:$K,ROW()-1+1,4),""),IF(ROW()-1&lt;=$L$2+$M$2,IFERROR(INDEX(CLOZE_AB!$A:$K,ROW()-1-$L$2+1,4),""),IF(ROW()-1&lt;=$L$2+$M$2+$N$2,IFERROR(INDEX(CLOZE_LIST!$A:$K,ROW()-1-$L$2-$M$2+1,4),""),IF(ROW()-1&lt;=$L$2+$M$2+$N$2+$O$2,IFERROR(INDEX(PROFORMA!$A:$K,ROW()-1-$L$2-$M$2-$N$2+1,4),""),"")))))</f>
        <v>Residency, domicile and deemed domicile</v>
      </c>
      <c r="E307" s="3" t="str">
        <f>IF(ROW()-1&lt;=0,"",IF(ROW()-1&lt;=$L$2,IFERROR(INDEX(MCQ!$A:$K,ROW()-1+1,5),""),IF(ROW()-1&lt;=$L$2+$M$2,IFERROR(INDEX(CLOZE_AB!$A:$K,ROW()-1-$L$2+1,5),""),IF(ROW()-1&lt;=$L$2+$M$2+$N$2,IFERROR(INDEX(CLOZE_LIST!$A:$K,ROW()-1-$L$2-$M$2+1,5),""),IF(ROW()-1&lt;=$L$2+$M$2+$N$2+$O$2,IFERROR(INDEX(PROFORMA!$A:$K,ROW()-1-$L$2-$M$2-$N$2+1,5),""),"")))))</f>
        <v>cloze_list</v>
      </c>
      <c r="F307" s="3">
        <f>IF(ROW()-1&lt;=0,"",IF(ROW()-1&lt;=$L$2,IFERROR(INDEX(MCQ!$A:$K,ROW()-1+1,6),""),IF(ROW()-1&lt;=$L$2+$M$2,IFERROR(INDEX(CLOZE_AB!$A:$K,ROW()-1-$L$2+1,6),""),IF(ROW()-1&lt;=$L$2+$M$2+$N$2,IFERROR(INDEX(CLOZE_LIST!$A:$K,ROW()-1-$L$2-$M$2+1,6),""),IF(ROW()-1&lt;=$L$2+$M$2+$N$2+$O$2,IFERROR(INDEX(PROFORMA!$A:$K,ROW()-1-$L$2-$M$2-$N$2+1,6),""),"")))))</f>
        <v>3</v>
      </c>
      <c r="G307" s="3" t="str">
        <f>IF(ROW()-1&lt;=0,"",IF(ROW()-1&lt;=$L$2,IFERROR(INDEX(MCQ!$A:$K,ROW()-1+1,7),""),IF(ROW()-1&lt;=$L$2+$M$2,IFERROR(INDEX(CLOZE_AB!$A:$K,ROW()-1-$L$2+1,7),""),IF(ROW()-1&lt;=$L$2+$M$2+$N$2,IFERROR(INDEX(CLOZE_LIST!$A:$K,ROW()-1-$L$2-$M$2+1,7),""),IF(ROW()-1&lt;=$L$2+$M$2+$N$2+$O$2,IFERROR(INDEX(PROFORMA!$A:$K,ROW()-1-$L$2-$M$2-$N$2+1,7),""),"")))))</f>
        <v>core</v>
      </c>
      <c r="H307" s="3" t="str">
        <f>IF(ROW()-1&lt;=0,"",IF(ROW()-1&lt;=$L$2,IFERROR(INDEX(MCQ!$A:$K,ROW()-1+1,8),""),IF(ROW()-1&lt;=$L$2+$M$2,IFERROR(INDEX(CLOZE_AB!$A:$K,ROW()-1-$L$2+1,8),""),IF(ROW()-1&lt;=$L$2+$M$2+$N$2,IFERROR(INDEX(CLOZE_LIST!$A:$K,ROW()-1-$L$2-$M$2+1,8),""),IF(ROW()-1&lt;=$L$2+$M$2+$N$2+$O$2,IFERROR(INDEX(PROFORMA!$A:$K,ROW()-1-$L$2-$M$2-$N$2+1,8),""),"")))))</f>
        <v>Y</v>
      </c>
      <c r="I307" s="3" t="str">
        <f>IF(ROW()-1&lt;=0,"",IF(ROW()-1&lt;=$L$2,IFERROR(INDEX(MCQ!$A:$K,ROW()-1+1,9),""),IF(ROW()-1&lt;=$L$2+$M$2,IFERROR(INDEX(CLOZE_AB!$A:$K,ROW()-1-$L$2+1,9),""),IF(ROW()-1&lt;=$L$2+$M$2+$N$2,IFERROR(INDEX(CLOZE_LIST!$A:$K,ROW()-1-$L$2-$M$2+1,9),""),IF(ROW()-1&lt;=$L$2+$M$2+$N$2+$O$2,IFERROR(INDEX(PROFORMA!$A:$K,ROW()-1-$L$2-$M$2-$N$2+1,9),""),"")))))</f>
        <v>residency|auto_uk</v>
      </c>
      <c r="J307" s="3" t="str">
        <f>IF(ROW()-1&lt;=0,"",IF(ROW()-1&lt;=$L$2,IFERROR(INDEX(MCQ!$A:$K,ROW()-1+1,10),""),IF(ROW()-1&lt;=$L$2+$M$2,IFERROR(INDEX(CLOZE_AB!$A:$K,ROW()-1-$L$2+1,10),""),IF(ROW()-1&lt;=$L$2+$M$2+$N$2,IFERROR(INDEX(CLOZE_LIST!$A:$K,ROW()-1-$L$2-$M$2+1,10),""),IF(ROW()-1&lt;=$L$2+$M$2+$N$2+$O$2,IFERROR(INDEX(PROFORMA!$A:$K,ROW()-1-$L$2-$M$2-$N$2+1,10),""),"")))))</f>
        <v>notes_user</v>
      </c>
      <c r="K307" s="3">
        <f>IF(ROW()-1&lt;=0,"",IF(ROW()-1&lt;=$L$2,IFERROR(INDEX(MCQ!$A:$K,ROW()-1+1,11),""),IF(ROW()-1&lt;=$L$2+$M$2,IFERROR(INDEX(CLOZE_AB!$A:$K,ROW()-1-$L$2+1,11),""),IF(ROW()-1&lt;=$L$2+$M$2+$N$2,IFERROR(INDEX(CLOZE_LIST!$A:$K,ROW()-1-$L$2-$M$2+1,11),""),IF(ROW()-1&lt;=$L$2+$M$2+$N$2+$O$2,IFERROR(INDEX(PROFORMA!$A:$K,ROW()-1-$L$2-$M$2-$N$2+1,11),""),"")))))</f>
        <v>1</v>
      </c>
      <c r="L307" s="3">
        <f>COUNTA(MCQ!$A:$A)-1</f>
        <v>122</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LIST_CGT_REQ_RESDOM_004</v>
      </c>
      <c r="B308" s="3" t="str">
        <f>IF(ROW()-1&lt;=0,"",IF(ROW()-1&lt;=$L$2,IFERROR(INDEX(MCQ!$A:$K,ROW()-1+1,2),""),IF(ROW()-1&lt;=$L$2+$M$2,IFERROR(INDEX(CLOZE_AB!$A:$K,ROW()-1-$L$2+1,2),""),IF(ROW()-1&lt;=$L$2+$M$2+$N$2,IFERROR(INDEX(CLOZE_LIST!$A:$K,ROW()-1-$L$2-$M$2+1,2),""),IF(ROW()-1&lt;=$L$2+$M$2+$N$2+$O$2,IFERROR(INDEX(PROFORMA!$A:$K,ROW()-1-$L$2-$M$2-$N$2+1,2),""),"")))))</f>
        <v>Capital gains</v>
      </c>
      <c r="C308" s="3" t="str">
        <f>IF(ROW()-1&lt;=0,"",IF(ROW()-1&lt;=$L$2,IFERROR(INDEX(MCQ!$A:$K,ROW()-1+1,3),""),IF(ROW()-1&lt;=$L$2+$M$2,IFERROR(INDEX(CLOZE_AB!$A:$K,ROW()-1-$L$2+1,3),""),IF(ROW()-1&lt;=$L$2+$M$2+$N$2,IFERROR(INDEX(CLOZE_LIST!$A:$K,ROW()-1-$L$2-$M$2+1,3),""),IF(ROW()-1&lt;=$L$2+$M$2+$N$2+$O$2,IFERROR(INDEX(PROFORMA!$A:$K,ROW()-1-$L$2-$M$2-$N$2+1,3),""),"")))))</f>
        <v>requirements</v>
      </c>
      <c r="D308" s="3" t="str">
        <f>IF(ROW()-1&lt;=0,"",IF(ROW()-1&lt;=$L$2,IFERROR(INDEX(MCQ!$A:$K,ROW()-1+1,4),""),IF(ROW()-1&lt;=$L$2+$M$2,IFERROR(INDEX(CLOZE_AB!$A:$K,ROW()-1-$L$2+1,4),""),IF(ROW()-1&lt;=$L$2+$M$2+$N$2,IFERROR(INDEX(CLOZE_LIST!$A:$K,ROW()-1-$L$2-$M$2+1,4),""),IF(ROW()-1&lt;=$L$2+$M$2+$N$2+$O$2,IFERROR(INDEX(PROFORMA!$A:$K,ROW()-1-$L$2-$M$2-$N$2+1,4),""),"")))))</f>
        <v>Residency, domicile and deemed domicile</v>
      </c>
      <c r="E308" s="3" t="str">
        <f>IF(ROW()-1&lt;=0,"",IF(ROW()-1&lt;=$L$2,IFERROR(INDEX(MCQ!$A:$K,ROW()-1+1,5),""),IF(ROW()-1&lt;=$L$2+$M$2,IFERROR(INDEX(CLOZE_AB!$A:$K,ROW()-1-$L$2+1,5),""),IF(ROW()-1&lt;=$L$2+$M$2+$N$2,IFERROR(INDEX(CLOZE_LIST!$A:$K,ROW()-1-$L$2-$M$2+1,5),""),IF(ROW()-1&lt;=$L$2+$M$2+$N$2+$O$2,IFERROR(INDEX(PROFORMA!$A:$K,ROW()-1-$L$2-$M$2-$N$2+1,5),""),"")))))</f>
        <v>cloze_list</v>
      </c>
      <c r="F308" s="3">
        <f>IF(ROW()-1&lt;=0,"",IF(ROW()-1&lt;=$L$2,IFERROR(INDEX(MCQ!$A:$K,ROW()-1+1,6),""),IF(ROW()-1&lt;=$L$2+$M$2,IFERROR(INDEX(CLOZE_AB!$A:$K,ROW()-1-$L$2+1,6),""),IF(ROW()-1&lt;=$L$2+$M$2+$N$2,IFERROR(INDEX(CLOZE_LIST!$A:$K,ROW()-1-$L$2-$M$2+1,6),""),IF(ROW()-1&lt;=$L$2+$M$2+$N$2+$O$2,IFERROR(INDEX(PROFORMA!$A:$K,ROW()-1-$L$2-$M$2-$N$2+1,6),""),"")))))</f>
        <v>3</v>
      </c>
      <c r="G308" s="3" t="str">
        <f>IF(ROW()-1&lt;=0,"",IF(ROW()-1&lt;=$L$2,IFERROR(INDEX(MCQ!$A:$K,ROW()-1+1,7),""),IF(ROW()-1&lt;=$L$2+$M$2,IFERROR(INDEX(CLOZE_AB!$A:$K,ROW()-1-$L$2+1,7),""),IF(ROW()-1&lt;=$L$2+$M$2+$N$2,IFERROR(INDEX(CLOZE_LIST!$A:$K,ROW()-1-$L$2-$M$2+1,7),""),IF(ROW()-1&lt;=$L$2+$M$2+$N$2+$O$2,IFERROR(INDEX(PROFORMA!$A:$K,ROW()-1-$L$2-$M$2-$N$2+1,7),""),"")))))</f>
        <v>core</v>
      </c>
      <c r="H308" s="3" t="str">
        <f>IF(ROW()-1&lt;=0,"",IF(ROW()-1&lt;=$L$2,IFERROR(INDEX(MCQ!$A:$K,ROW()-1+1,8),""),IF(ROW()-1&lt;=$L$2+$M$2,IFERROR(INDEX(CLOZE_AB!$A:$K,ROW()-1-$L$2+1,8),""),IF(ROW()-1&lt;=$L$2+$M$2+$N$2,IFERROR(INDEX(CLOZE_LIST!$A:$K,ROW()-1-$L$2-$M$2+1,8),""),IF(ROW()-1&lt;=$L$2+$M$2+$N$2+$O$2,IFERROR(INDEX(PROFORMA!$A:$K,ROW()-1-$L$2-$M$2-$N$2+1,8),""),"")))))</f>
        <v>Y</v>
      </c>
      <c r="I308" s="3" t="str">
        <f>IF(ROW()-1&lt;=0,"",IF(ROW()-1&lt;=$L$2,IFERROR(INDEX(MCQ!$A:$K,ROW()-1+1,9),""),IF(ROW()-1&lt;=$L$2+$M$2,IFERROR(INDEX(CLOZE_AB!$A:$K,ROW()-1-$L$2+1,9),""),IF(ROW()-1&lt;=$L$2+$M$2+$N$2,IFERROR(INDEX(CLOZE_LIST!$A:$K,ROW()-1-$L$2-$M$2+1,9),""),IF(ROW()-1&lt;=$L$2+$M$2+$N$2+$O$2,IFERROR(INDEX(PROFORMA!$A:$K,ROW()-1-$L$2-$M$2-$N$2+1,9),""),"")))))</f>
        <v>residency|ties</v>
      </c>
      <c r="J308" s="3" t="str">
        <f>IF(ROW()-1&lt;=0,"",IF(ROW()-1&lt;=$L$2,IFERROR(INDEX(MCQ!$A:$K,ROW()-1+1,10),""),IF(ROW()-1&lt;=$L$2+$M$2,IFERROR(INDEX(CLOZE_AB!$A:$K,ROW()-1-$L$2+1,10),""),IF(ROW()-1&lt;=$L$2+$M$2+$N$2,IFERROR(INDEX(CLOZE_LIST!$A:$K,ROW()-1-$L$2-$M$2+1,10),""),IF(ROW()-1&lt;=$L$2+$M$2+$N$2+$O$2,IFERROR(INDEX(PROFORMA!$A:$K,ROW()-1-$L$2-$M$2-$N$2+1,10),""),"")))))</f>
        <v>notes_user</v>
      </c>
      <c r="K308" s="3">
        <f>IF(ROW()-1&lt;=0,"",IF(ROW()-1&lt;=$L$2,IFERROR(INDEX(MCQ!$A:$K,ROW()-1+1,11),""),IF(ROW()-1&lt;=$L$2+$M$2,IFERROR(INDEX(CLOZE_AB!$A:$K,ROW()-1-$L$2+1,11),""),IF(ROW()-1&lt;=$L$2+$M$2+$N$2,IFERROR(INDEX(CLOZE_LIST!$A:$K,ROW()-1-$L$2-$M$2+1,11),""),IF(ROW()-1&lt;=$L$2+$M$2+$N$2+$O$2,IFERROR(INDEX(PROFORMA!$A:$K,ROW()-1-$L$2-$M$2-$N$2+1,11),""),"")))))</f>
        <v>1</v>
      </c>
      <c r="L308" s="3">
        <f>COUNTA(MCQ!$A:$A)-1</f>
        <v>122</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LIST_CGT_REQ_RESDOM_005</v>
      </c>
      <c r="B309" s="3" t="str">
        <f>IF(ROW()-1&lt;=0,"",IF(ROW()-1&lt;=$L$2,IFERROR(INDEX(MCQ!$A:$K,ROW()-1+1,2),""),IF(ROW()-1&lt;=$L$2+$M$2,IFERROR(INDEX(CLOZE_AB!$A:$K,ROW()-1-$L$2+1,2),""),IF(ROW()-1&lt;=$L$2+$M$2+$N$2,IFERROR(INDEX(CLOZE_LIST!$A:$K,ROW()-1-$L$2-$M$2+1,2),""),IF(ROW()-1&lt;=$L$2+$M$2+$N$2+$O$2,IFERROR(INDEX(PROFORMA!$A:$K,ROW()-1-$L$2-$M$2-$N$2+1,2),""),"")))))</f>
        <v>Capital gains</v>
      </c>
      <c r="C309" s="3" t="str">
        <f>IF(ROW()-1&lt;=0,"",IF(ROW()-1&lt;=$L$2,IFERROR(INDEX(MCQ!$A:$K,ROW()-1+1,3),""),IF(ROW()-1&lt;=$L$2+$M$2,IFERROR(INDEX(CLOZE_AB!$A:$K,ROW()-1-$L$2+1,3),""),IF(ROW()-1&lt;=$L$2+$M$2+$N$2,IFERROR(INDEX(CLOZE_LIST!$A:$K,ROW()-1-$L$2-$M$2+1,3),""),IF(ROW()-1&lt;=$L$2+$M$2+$N$2+$O$2,IFERROR(INDEX(PROFORMA!$A:$K,ROW()-1-$L$2-$M$2-$N$2+1,3),""),"")))))</f>
        <v>requirements</v>
      </c>
      <c r="D309" s="3" t="str">
        <f>IF(ROW()-1&lt;=0,"",IF(ROW()-1&lt;=$L$2,IFERROR(INDEX(MCQ!$A:$K,ROW()-1+1,4),""),IF(ROW()-1&lt;=$L$2+$M$2,IFERROR(INDEX(CLOZE_AB!$A:$K,ROW()-1-$L$2+1,4),""),IF(ROW()-1&lt;=$L$2+$M$2+$N$2,IFERROR(INDEX(CLOZE_LIST!$A:$K,ROW()-1-$L$2-$M$2+1,4),""),IF(ROW()-1&lt;=$L$2+$M$2+$N$2+$O$2,IFERROR(INDEX(PROFORMA!$A:$K,ROW()-1-$L$2-$M$2-$N$2+1,4),""),"")))))</f>
        <v>Residency, domicile and deemed domicile</v>
      </c>
      <c r="E309" s="3" t="str">
        <f>IF(ROW()-1&lt;=0,"",IF(ROW()-1&lt;=$L$2,IFERROR(INDEX(MCQ!$A:$K,ROW()-1+1,5),""),IF(ROW()-1&lt;=$L$2+$M$2,IFERROR(INDEX(CLOZE_AB!$A:$K,ROW()-1-$L$2+1,5),""),IF(ROW()-1&lt;=$L$2+$M$2+$N$2,IFERROR(INDEX(CLOZE_LIST!$A:$K,ROW()-1-$L$2-$M$2+1,5),""),IF(ROW()-1&lt;=$L$2+$M$2+$N$2+$O$2,IFERROR(INDEX(PROFORMA!$A:$K,ROW()-1-$L$2-$M$2-$N$2+1,5),""),"")))))</f>
        <v>cloze_list</v>
      </c>
      <c r="F309" s="3">
        <f>IF(ROW()-1&lt;=0,"",IF(ROW()-1&lt;=$L$2,IFERROR(INDEX(MCQ!$A:$K,ROW()-1+1,6),""),IF(ROW()-1&lt;=$L$2+$M$2,IFERROR(INDEX(CLOZE_AB!$A:$K,ROW()-1-$L$2+1,6),""),IF(ROW()-1&lt;=$L$2+$M$2+$N$2,IFERROR(INDEX(CLOZE_LIST!$A:$K,ROW()-1-$L$2-$M$2+1,6),""),IF(ROW()-1&lt;=$L$2+$M$2+$N$2+$O$2,IFERROR(INDEX(PROFORMA!$A:$K,ROW()-1-$L$2-$M$2-$N$2+1,6),""),"")))))</f>
        <v>3</v>
      </c>
      <c r="G309" s="3" t="str">
        <f>IF(ROW()-1&lt;=0,"",IF(ROW()-1&lt;=$L$2,IFERROR(INDEX(MCQ!$A:$K,ROW()-1+1,7),""),IF(ROW()-1&lt;=$L$2+$M$2,IFERROR(INDEX(CLOZE_AB!$A:$K,ROW()-1-$L$2+1,7),""),IF(ROW()-1&lt;=$L$2+$M$2+$N$2,IFERROR(INDEX(CLOZE_LIST!$A:$K,ROW()-1-$L$2-$M$2+1,7),""),IF(ROW()-1&lt;=$L$2+$M$2+$N$2+$O$2,IFERROR(INDEX(PROFORMA!$A:$K,ROW()-1-$L$2-$M$2-$N$2+1,7),""),"")))))</f>
        <v>core</v>
      </c>
      <c r="H309" s="3" t="str">
        <f>IF(ROW()-1&lt;=0,"",IF(ROW()-1&lt;=$L$2,IFERROR(INDEX(MCQ!$A:$K,ROW()-1+1,8),""),IF(ROW()-1&lt;=$L$2+$M$2,IFERROR(INDEX(CLOZE_AB!$A:$K,ROW()-1-$L$2+1,8),""),IF(ROW()-1&lt;=$L$2+$M$2+$N$2,IFERROR(INDEX(CLOZE_LIST!$A:$K,ROW()-1-$L$2-$M$2+1,8),""),IF(ROW()-1&lt;=$L$2+$M$2+$N$2+$O$2,IFERROR(INDEX(PROFORMA!$A:$K,ROW()-1-$L$2-$M$2-$N$2+1,8),""),"")))))</f>
        <v>Y</v>
      </c>
      <c r="I309" s="3" t="str">
        <f>IF(ROW()-1&lt;=0,"",IF(ROW()-1&lt;=$L$2,IFERROR(INDEX(MCQ!$A:$K,ROW()-1+1,9),""),IF(ROW()-1&lt;=$L$2+$M$2,IFERROR(INDEX(CLOZE_AB!$A:$K,ROW()-1-$L$2+1,9),""),IF(ROW()-1&lt;=$L$2+$M$2+$N$2,IFERROR(INDEX(CLOZE_LIST!$A:$K,ROW()-1-$L$2-$M$2+1,9),""),IF(ROW()-1&lt;=$L$2+$M$2+$N$2+$O$2,IFERROR(INDEX(PROFORMA!$A:$K,ROW()-1-$L$2-$M$2-$N$2+1,9),""),"")))))</f>
        <v>domicile|types</v>
      </c>
      <c r="J309" s="3" t="str">
        <f>IF(ROW()-1&lt;=0,"",IF(ROW()-1&lt;=$L$2,IFERROR(INDEX(MCQ!$A:$K,ROW()-1+1,10),""),IF(ROW()-1&lt;=$L$2+$M$2,IFERROR(INDEX(CLOZE_AB!$A:$K,ROW()-1-$L$2+1,10),""),IF(ROW()-1&lt;=$L$2+$M$2+$N$2,IFERROR(INDEX(CLOZE_LIST!$A:$K,ROW()-1-$L$2-$M$2+1,10),""),IF(ROW()-1&lt;=$L$2+$M$2+$N$2+$O$2,IFERROR(INDEX(PROFORMA!$A:$K,ROW()-1-$L$2-$M$2-$N$2+1,10),""),"")))))</f>
        <v>notes_user</v>
      </c>
      <c r="K309" s="3">
        <f>IF(ROW()-1&lt;=0,"",IF(ROW()-1&lt;=$L$2,IFERROR(INDEX(MCQ!$A:$K,ROW()-1+1,11),""),IF(ROW()-1&lt;=$L$2+$M$2,IFERROR(INDEX(CLOZE_AB!$A:$K,ROW()-1-$L$2+1,11),""),IF(ROW()-1&lt;=$L$2+$M$2+$N$2,IFERROR(INDEX(CLOZE_LIST!$A:$K,ROW()-1-$L$2-$M$2+1,11),""),IF(ROW()-1&lt;=$L$2+$M$2+$N$2+$O$2,IFERROR(INDEX(PROFORMA!$A:$K,ROW()-1-$L$2-$M$2-$N$2+1,11),""),"")))))</f>
        <v>1</v>
      </c>
      <c r="L309" s="3">
        <f>COUNTA(MCQ!$A:$A)-1</f>
        <v>122</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LIST_CGT_REQ_RESDOM_006</v>
      </c>
      <c r="B310" s="3" t="str">
        <f>IF(ROW()-1&lt;=0,"",IF(ROW()-1&lt;=$L$2,IFERROR(INDEX(MCQ!$A:$K,ROW()-1+1,2),""),IF(ROW()-1&lt;=$L$2+$M$2,IFERROR(INDEX(CLOZE_AB!$A:$K,ROW()-1-$L$2+1,2),""),IF(ROW()-1&lt;=$L$2+$M$2+$N$2,IFERROR(INDEX(CLOZE_LIST!$A:$K,ROW()-1-$L$2-$M$2+1,2),""),IF(ROW()-1&lt;=$L$2+$M$2+$N$2+$O$2,IFERROR(INDEX(PROFORMA!$A:$K,ROW()-1-$L$2-$M$2-$N$2+1,2),""),"")))))</f>
        <v>Capital gains</v>
      </c>
      <c r="C310" s="3" t="str">
        <f>IF(ROW()-1&lt;=0,"",IF(ROW()-1&lt;=$L$2,IFERROR(INDEX(MCQ!$A:$K,ROW()-1+1,3),""),IF(ROW()-1&lt;=$L$2+$M$2,IFERROR(INDEX(CLOZE_AB!$A:$K,ROW()-1-$L$2+1,3),""),IF(ROW()-1&lt;=$L$2+$M$2+$N$2,IFERROR(INDEX(CLOZE_LIST!$A:$K,ROW()-1-$L$2-$M$2+1,3),""),IF(ROW()-1&lt;=$L$2+$M$2+$N$2+$O$2,IFERROR(INDEX(PROFORMA!$A:$K,ROW()-1-$L$2-$M$2-$N$2+1,3),""),"")))))</f>
        <v>requirements</v>
      </c>
      <c r="D310" s="3" t="str">
        <f>IF(ROW()-1&lt;=0,"",IF(ROW()-1&lt;=$L$2,IFERROR(INDEX(MCQ!$A:$K,ROW()-1+1,4),""),IF(ROW()-1&lt;=$L$2+$M$2,IFERROR(INDEX(CLOZE_AB!$A:$K,ROW()-1-$L$2+1,4),""),IF(ROW()-1&lt;=$L$2+$M$2+$N$2,IFERROR(INDEX(CLOZE_LIST!$A:$K,ROW()-1-$L$2-$M$2+1,4),""),IF(ROW()-1&lt;=$L$2+$M$2+$N$2+$O$2,IFERROR(INDEX(PROFORMA!$A:$K,ROW()-1-$L$2-$M$2-$N$2+1,4),""),"")))))</f>
        <v>Residency, domicile and deemed domicile</v>
      </c>
      <c r="E310" s="3" t="str">
        <f>IF(ROW()-1&lt;=0,"",IF(ROW()-1&lt;=$L$2,IFERROR(INDEX(MCQ!$A:$K,ROW()-1+1,5),""),IF(ROW()-1&lt;=$L$2+$M$2,IFERROR(INDEX(CLOZE_AB!$A:$K,ROW()-1-$L$2+1,5),""),IF(ROW()-1&lt;=$L$2+$M$2+$N$2,IFERROR(INDEX(CLOZE_LIST!$A:$K,ROW()-1-$L$2-$M$2+1,5),""),IF(ROW()-1&lt;=$L$2+$M$2+$N$2+$O$2,IFERROR(INDEX(PROFORMA!$A:$K,ROW()-1-$L$2-$M$2-$N$2+1,5),""),"")))))</f>
        <v>cloze_list</v>
      </c>
      <c r="F310" s="3">
        <f>IF(ROW()-1&lt;=0,"",IF(ROW()-1&lt;=$L$2,IFERROR(INDEX(MCQ!$A:$K,ROW()-1+1,6),""),IF(ROW()-1&lt;=$L$2+$M$2,IFERROR(INDEX(CLOZE_AB!$A:$K,ROW()-1-$L$2+1,6),""),IF(ROW()-1&lt;=$L$2+$M$2+$N$2,IFERROR(INDEX(CLOZE_LIST!$A:$K,ROW()-1-$L$2-$M$2+1,6),""),IF(ROW()-1&lt;=$L$2+$M$2+$N$2+$O$2,IFERROR(INDEX(PROFORMA!$A:$K,ROW()-1-$L$2-$M$2-$N$2+1,6),""),"")))))</f>
        <v>3</v>
      </c>
      <c r="G310" s="3" t="str">
        <f>IF(ROW()-1&lt;=0,"",IF(ROW()-1&lt;=$L$2,IFERROR(INDEX(MCQ!$A:$K,ROW()-1+1,7),""),IF(ROW()-1&lt;=$L$2+$M$2,IFERROR(INDEX(CLOZE_AB!$A:$K,ROW()-1-$L$2+1,7),""),IF(ROW()-1&lt;=$L$2+$M$2+$N$2,IFERROR(INDEX(CLOZE_LIST!$A:$K,ROW()-1-$L$2-$M$2+1,7),""),IF(ROW()-1&lt;=$L$2+$M$2+$N$2+$O$2,IFERROR(INDEX(PROFORMA!$A:$K,ROW()-1-$L$2-$M$2-$N$2+1,7),""),"")))))</f>
        <v>core</v>
      </c>
      <c r="H310" s="3" t="str">
        <f>IF(ROW()-1&lt;=0,"",IF(ROW()-1&lt;=$L$2,IFERROR(INDEX(MCQ!$A:$K,ROW()-1+1,8),""),IF(ROW()-1&lt;=$L$2+$M$2,IFERROR(INDEX(CLOZE_AB!$A:$K,ROW()-1-$L$2+1,8),""),IF(ROW()-1&lt;=$L$2+$M$2+$N$2,IFERROR(INDEX(CLOZE_LIST!$A:$K,ROW()-1-$L$2-$M$2+1,8),""),IF(ROW()-1&lt;=$L$2+$M$2+$N$2+$O$2,IFERROR(INDEX(PROFORMA!$A:$K,ROW()-1-$L$2-$M$2-$N$2+1,8),""),"")))))</f>
        <v>Y</v>
      </c>
      <c r="I310" s="3" t="str">
        <f>IF(ROW()-1&lt;=0,"",IF(ROW()-1&lt;=$L$2,IFERROR(INDEX(MCQ!$A:$K,ROW()-1+1,9),""),IF(ROW()-1&lt;=$L$2+$M$2,IFERROR(INDEX(CLOZE_AB!$A:$K,ROW()-1-$L$2+1,9),""),IF(ROW()-1&lt;=$L$2+$M$2+$N$2,IFERROR(INDEX(CLOZE_LIST!$A:$K,ROW()-1-$L$2-$M$2+1,9),""),IF(ROW()-1&lt;=$L$2+$M$2+$N$2+$O$2,IFERROR(INDEX(PROFORMA!$A:$K,ROW()-1-$L$2-$M$2-$N$2+1,9),""),"")))))</f>
        <v>deemed_domicile|routes</v>
      </c>
      <c r="J310" s="3" t="str">
        <f>IF(ROW()-1&lt;=0,"",IF(ROW()-1&lt;=$L$2,IFERROR(INDEX(MCQ!$A:$K,ROW()-1+1,10),""),IF(ROW()-1&lt;=$L$2+$M$2,IFERROR(INDEX(CLOZE_AB!$A:$K,ROW()-1-$L$2+1,10),""),IF(ROW()-1&lt;=$L$2+$M$2+$N$2,IFERROR(INDEX(CLOZE_LIST!$A:$K,ROW()-1-$L$2-$M$2+1,10),""),IF(ROW()-1&lt;=$L$2+$M$2+$N$2+$O$2,IFERROR(INDEX(PROFORMA!$A:$K,ROW()-1-$L$2-$M$2-$N$2+1,10),""),"")))))</f>
        <v>notes_user</v>
      </c>
      <c r="K310" s="3">
        <f>IF(ROW()-1&lt;=0,"",IF(ROW()-1&lt;=$L$2,IFERROR(INDEX(MCQ!$A:$K,ROW()-1+1,11),""),IF(ROW()-1&lt;=$L$2+$M$2,IFERROR(INDEX(CLOZE_AB!$A:$K,ROW()-1-$L$2+1,11),""),IF(ROW()-1&lt;=$L$2+$M$2+$N$2,IFERROR(INDEX(CLOZE_LIST!$A:$K,ROW()-1-$L$2-$M$2+1,11),""),IF(ROW()-1&lt;=$L$2+$M$2+$N$2+$O$2,IFERROR(INDEX(PROFORMA!$A:$K,ROW()-1-$L$2-$M$2-$N$2+1,11),""),"")))))</f>
        <v>1</v>
      </c>
      <c r="L310" s="3">
        <f>COUNTA(MCQ!$A:$A)-1</f>
        <v>122</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LIST_IHT_REQ_DEEMDOM_001</v>
      </c>
      <c r="B311" s="3" t="str">
        <f>IF(ROW()-1&lt;=0,"",IF(ROW()-1&lt;=$L$2,IFERROR(INDEX(MCQ!$A:$K,ROW()-1+1,2),""),IF(ROW()-1&lt;=$L$2+$M$2,IFERROR(INDEX(CLOZE_AB!$A:$K,ROW()-1-$L$2+1,2),""),IF(ROW()-1&lt;=$L$2+$M$2+$N$2,IFERROR(INDEX(CLOZE_LIST!$A:$K,ROW()-1-$L$2-$M$2+1,2),""),IF(ROW()-1&lt;=$L$2+$M$2+$N$2+$O$2,IFERROR(INDEX(PROFORMA!$A:$K,ROW()-1-$L$2-$M$2-$N$2+1,2),""),"")))))</f>
        <v>Inheritance tax</v>
      </c>
      <c r="C311" s="3" t="str">
        <f>IF(ROW()-1&lt;=0,"",IF(ROW()-1&lt;=$L$2,IFERROR(INDEX(MCQ!$A:$K,ROW()-1+1,3),""),IF(ROW()-1&lt;=$L$2+$M$2,IFERROR(INDEX(CLOZE_AB!$A:$K,ROW()-1-$L$2+1,3),""),IF(ROW()-1&lt;=$L$2+$M$2+$N$2,IFERROR(INDEX(CLOZE_LIST!$A:$K,ROW()-1-$L$2-$M$2+1,3),""),IF(ROW()-1&lt;=$L$2+$M$2+$N$2+$O$2,IFERROR(INDEX(PROFORMA!$A:$K,ROW()-1-$L$2-$M$2-$N$2+1,3),""),"")))))</f>
        <v>requirements</v>
      </c>
      <c r="D311" s="3" t="str">
        <f>IF(ROW()-1&lt;=0,"",IF(ROW()-1&lt;=$L$2,IFERROR(INDEX(MCQ!$A:$K,ROW()-1+1,4),""),IF(ROW()-1&lt;=$L$2+$M$2,IFERROR(INDEX(CLOZE_AB!$A:$K,ROW()-1-$L$2+1,4),""),IF(ROW()-1&lt;=$L$2+$M$2+$N$2,IFERROR(INDEX(CLOZE_LIST!$A:$K,ROW()-1-$L$2-$M$2+1,4),""),IF(ROW()-1&lt;=$L$2+$M$2+$N$2+$O$2,IFERROR(INDEX(PROFORMA!$A:$K,ROW()-1-$L$2-$M$2-$N$2+1,4),""),"")))))</f>
        <v>Deemed domicile (IHT vs CGT/IT)</v>
      </c>
      <c r="E311" s="3" t="str">
        <f>IF(ROW()-1&lt;=0,"",IF(ROW()-1&lt;=$L$2,IFERROR(INDEX(MCQ!$A:$K,ROW()-1+1,5),""),IF(ROW()-1&lt;=$L$2+$M$2,IFERROR(INDEX(CLOZE_AB!$A:$K,ROW()-1-$L$2+1,5),""),IF(ROW()-1&lt;=$L$2+$M$2+$N$2,IFERROR(INDEX(CLOZE_LIST!$A:$K,ROW()-1-$L$2-$M$2+1,5),""),IF(ROW()-1&lt;=$L$2+$M$2+$N$2+$O$2,IFERROR(INDEX(PROFORMA!$A:$K,ROW()-1-$L$2-$M$2-$N$2+1,5),""),"")))))</f>
        <v>cloze_list</v>
      </c>
      <c r="F311" s="3">
        <f>IF(ROW()-1&lt;=0,"",IF(ROW()-1&lt;=$L$2,IFERROR(INDEX(MCQ!$A:$K,ROW()-1+1,6),""),IF(ROW()-1&lt;=$L$2+$M$2,IFERROR(INDEX(CLOZE_AB!$A:$K,ROW()-1-$L$2+1,6),""),IF(ROW()-1&lt;=$L$2+$M$2+$N$2,IFERROR(INDEX(CLOZE_LIST!$A:$K,ROW()-1-$L$2-$M$2+1,6),""),IF(ROW()-1&lt;=$L$2+$M$2+$N$2+$O$2,IFERROR(INDEX(PROFORMA!$A:$K,ROW()-1-$L$2-$M$2-$N$2+1,6),""),"")))))</f>
        <v>3</v>
      </c>
      <c r="G311" s="3" t="str">
        <f>IF(ROW()-1&lt;=0,"",IF(ROW()-1&lt;=$L$2,IFERROR(INDEX(MCQ!$A:$K,ROW()-1+1,7),""),IF(ROW()-1&lt;=$L$2+$M$2,IFERROR(INDEX(CLOZE_AB!$A:$K,ROW()-1-$L$2+1,7),""),IF(ROW()-1&lt;=$L$2+$M$2+$N$2,IFERROR(INDEX(CLOZE_LIST!$A:$K,ROW()-1-$L$2-$M$2+1,7),""),IF(ROW()-1&lt;=$L$2+$M$2+$N$2+$O$2,IFERROR(INDEX(PROFORMA!$A:$K,ROW()-1-$L$2-$M$2-$N$2+1,7),""),"")))))</f>
        <v>core</v>
      </c>
      <c r="H311" s="3" t="str">
        <f>IF(ROW()-1&lt;=0,"",IF(ROW()-1&lt;=$L$2,IFERROR(INDEX(MCQ!$A:$K,ROW()-1+1,8),""),IF(ROW()-1&lt;=$L$2+$M$2,IFERROR(INDEX(CLOZE_AB!$A:$K,ROW()-1-$L$2+1,8),""),IF(ROW()-1&lt;=$L$2+$M$2+$N$2,IFERROR(INDEX(CLOZE_LIST!$A:$K,ROW()-1-$L$2-$M$2+1,8),""),IF(ROW()-1&lt;=$L$2+$M$2+$N$2+$O$2,IFERROR(INDEX(PROFORMA!$A:$K,ROW()-1-$L$2-$M$2-$N$2+1,8),""),"")))))</f>
        <v>Y</v>
      </c>
      <c r="I311" s="3" t="str">
        <f>IF(ROW()-1&lt;=0,"",IF(ROW()-1&lt;=$L$2,IFERROR(INDEX(MCQ!$A:$K,ROW()-1+1,9),""),IF(ROW()-1&lt;=$L$2+$M$2,IFERROR(INDEX(CLOZE_AB!$A:$K,ROW()-1-$L$2+1,9),""),IF(ROW()-1&lt;=$L$2+$M$2+$N$2,IFERROR(INDEX(CLOZE_LIST!$A:$K,ROW()-1-$L$2-$M$2+1,9),""),IF(ROW()-1&lt;=$L$2+$M$2+$N$2+$O$2,IFERROR(INDEX(PROFORMA!$A:$K,ROW()-1-$L$2-$M$2-$N$2+1,9),""),"")))))</f>
        <v>iht|overview</v>
      </c>
      <c r="J311" s="3" t="str">
        <f>IF(ROW()-1&lt;=0,"",IF(ROW()-1&lt;=$L$2,IFERROR(INDEX(MCQ!$A:$K,ROW()-1+1,10),""),IF(ROW()-1&lt;=$L$2+$M$2,IFERROR(INDEX(CLOZE_AB!$A:$K,ROW()-1-$L$2+1,10),""),IF(ROW()-1&lt;=$L$2+$M$2+$N$2,IFERROR(INDEX(CLOZE_LIST!$A:$K,ROW()-1-$L$2-$M$2+1,10),""),IF(ROW()-1&lt;=$L$2+$M$2+$N$2+$O$2,IFERROR(INDEX(PROFORMA!$A:$K,ROW()-1-$L$2-$M$2-$N$2+1,10),""),"")))))</f>
        <v>image_notes</v>
      </c>
      <c r="K311" s="3">
        <f>IF(ROW()-1&lt;=0,"",IF(ROW()-1&lt;=$L$2,IFERROR(INDEX(MCQ!$A:$K,ROW()-1+1,11),""),IF(ROW()-1&lt;=$L$2+$M$2,IFERROR(INDEX(CLOZE_AB!$A:$K,ROW()-1-$L$2+1,11),""),IF(ROW()-1&lt;=$L$2+$M$2+$N$2,IFERROR(INDEX(CLOZE_LIST!$A:$K,ROW()-1-$L$2-$M$2+1,11),""),IF(ROW()-1&lt;=$L$2+$M$2+$N$2+$O$2,IFERROR(INDEX(PROFORMA!$A:$K,ROW()-1-$L$2-$M$2-$N$2+1,11),""),"")))))</f>
        <v>1</v>
      </c>
      <c r="L311" s="3">
        <f>COUNTA(MCQ!$A:$A)-1</f>
        <v>122</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LIST_IHT_REQ_DEEMDOM_002</v>
      </c>
      <c r="B312" s="3" t="str">
        <f>IF(ROW()-1&lt;=0,"",IF(ROW()-1&lt;=$L$2,IFERROR(INDEX(MCQ!$A:$K,ROW()-1+1,2),""),IF(ROW()-1&lt;=$L$2+$M$2,IFERROR(INDEX(CLOZE_AB!$A:$K,ROW()-1-$L$2+1,2),""),IF(ROW()-1&lt;=$L$2+$M$2+$N$2,IFERROR(INDEX(CLOZE_LIST!$A:$K,ROW()-1-$L$2-$M$2+1,2),""),IF(ROW()-1&lt;=$L$2+$M$2+$N$2+$O$2,IFERROR(INDEX(PROFORMA!$A:$K,ROW()-1-$L$2-$M$2-$N$2+1,2),""),"")))))</f>
        <v>Inheritance tax</v>
      </c>
      <c r="C312" s="3" t="str">
        <f>IF(ROW()-1&lt;=0,"",IF(ROW()-1&lt;=$L$2,IFERROR(INDEX(MCQ!$A:$K,ROW()-1+1,3),""),IF(ROW()-1&lt;=$L$2+$M$2,IFERROR(INDEX(CLOZE_AB!$A:$K,ROW()-1-$L$2+1,3),""),IF(ROW()-1&lt;=$L$2+$M$2+$N$2,IFERROR(INDEX(CLOZE_LIST!$A:$K,ROW()-1-$L$2-$M$2+1,3),""),IF(ROW()-1&lt;=$L$2+$M$2+$N$2+$O$2,IFERROR(INDEX(PROFORMA!$A:$K,ROW()-1-$L$2-$M$2-$N$2+1,3),""),"")))))</f>
        <v>requirements</v>
      </c>
      <c r="D312" s="3" t="str">
        <f>IF(ROW()-1&lt;=0,"",IF(ROW()-1&lt;=$L$2,IFERROR(INDEX(MCQ!$A:$K,ROW()-1+1,4),""),IF(ROW()-1&lt;=$L$2+$M$2,IFERROR(INDEX(CLOZE_AB!$A:$K,ROW()-1-$L$2+1,4),""),IF(ROW()-1&lt;=$L$2+$M$2+$N$2,IFERROR(INDEX(CLOZE_LIST!$A:$K,ROW()-1-$L$2-$M$2+1,4),""),IF(ROW()-1&lt;=$L$2+$M$2+$N$2+$O$2,IFERROR(INDEX(PROFORMA!$A:$K,ROW()-1-$L$2-$M$2-$N$2+1,4),""),"")))))</f>
        <v>Deemed domicile (IHT vs CGT/IT)</v>
      </c>
      <c r="E312" s="3" t="str">
        <f>IF(ROW()-1&lt;=0,"",IF(ROW()-1&lt;=$L$2,IFERROR(INDEX(MCQ!$A:$K,ROW()-1+1,5),""),IF(ROW()-1&lt;=$L$2+$M$2,IFERROR(INDEX(CLOZE_AB!$A:$K,ROW()-1-$L$2+1,5),""),IF(ROW()-1&lt;=$L$2+$M$2+$N$2,IFERROR(INDEX(CLOZE_LIST!$A:$K,ROW()-1-$L$2-$M$2+1,5),""),IF(ROW()-1&lt;=$L$2+$M$2+$N$2+$O$2,IFERROR(INDEX(PROFORMA!$A:$K,ROW()-1-$L$2-$M$2-$N$2+1,5),""),"")))))</f>
        <v>cloze_list</v>
      </c>
      <c r="F312" s="3">
        <f>IF(ROW()-1&lt;=0,"",IF(ROW()-1&lt;=$L$2,IFERROR(INDEX(MCQ!$A:$K,ROW()-1+1,6),""),IF(ROW()-1&lt;=$L$2+$M$2,IFERROR(INDEX(CLOZE_AB!$A:$K,ROW()-1-$L$2+1,6),""),IF(ROW()-1&lt;=$L$2+$M$2+$N$2,IFERROR(INDEX(CLOZE_LIST!$A:$K,ROW()-1-$L$2-$M$2+1,6),""),IF(ROW()-1&lt;=$L$2+$M$2+$N$2+$O$2,IFERROR(INDEX(PROFORMA!$A:$K,ROW()-1-$L$2-$M$2-$N$2+1,6),""),"")))))</f>
        <v>3</v>
      </c>
      <c r="G312" s="3" t="str">
        <f>IF(ROW()-1&lt;=0,"",IF(ROW()-1&lt;=$L$2,IFERROR(INDEX(MCQ!$A:$K,ROW()-1+1,7),""),IF(ROW()-1&lt;=$L$2+$M$2,IFERROR(INDEX(CLOZE_AB!$A:$K,ROW()-1-$L$2+1,7),""),IF(ROW()-1&lt;=$L$2+$M$2+$N$2,IFERROR(INDEX(CLOZE_LIST!$A:$K,ROW()-1-$L$2-$M$2+1,7),""),IF(ROW()-1&lt;=$L$2+$M$2+$N$2+$O$2,IFERROR(INDEX(PROFORMA!$A:$K,ROW()-1-$L$2-$M$2-$N$2+1,7),""),"")))))</f>
        <v>core</v>
      </c>
      <c r="H312" s="3" t="str">
        <f>IF(ROW()-1&lt;=0,"",IF(ROW()-1&lt;=$L$2,IFERROR(INDEX(MCQ!$A:$K,ROW()-1+1,8),""),IF(ROW()-1&lt;=$L$2+$M$2,IFERROR(INDEX(CLOZE_AB!$A:$K,ROW()-1-$L$2+1,8),""),IF(ROW()-1&lt;=$L$2+$M$2+$N$2,IFERROR(INDEX(CLOZE_LIST!$A:$K,ROW()-1-$L$2-$M$2+1,8),""),IF(ROW()-1&lt;=$L$2+$M$2+$N$2+$O$2,IFERROR(INDEX(PROFORMA!$A:$K,ROW()-1-$L$2-$M$2-$N$2+1,8),""),"")))))</f>
        <v>Y</v>
      </c>
      <c r="I312" s="3" t="str">
        <f>IF(ROW()-1&lt;=0,"",IF(ROW()-1&lt;=$L$2,IFERROR(INDEX(MCQ!$A:$K,ROW()-1+1,9),""),IF(ROW()-1&lt;=$L$2+$M$2,IFERROR(INDEX(CLOZE_AB!$A:$K,ROW()-1-$L$2+1,9),""),IF(ROW()-1&lt;=$L$2+$M$2+$N$2,IFERROR(INDEX(CLOZE_LIST!$A:$K,ROW()-1-$L$2-$M$2+1,9),""),IF(ROW()-1&lt;=$L$2+$M$2+$N$2+$O$2,IFERROR(INDEX(PROFORMA!$A:$K,ROW()-1-$L$2-$M$2-$N$2+1,9),""),"")))))</f>
        <v>iht|three_year</v>
      </c>
      <c r="J312" s="3" t="str">
        <f>IF(ROW()-1&lt;=0,"",IF(ROW()-1&lt;=$L$2,IFERROR(INDEX(MCQ!$A:$K,ROW()-1+1,10),""),IF(ROW()-1&lt;=$L$2+$M$2,IFERROR(INDEX(CLOZE_AB!$A:$K,ROW()-1-$L$2+1,10),""),IF(ROW()-1&lt;=$L$2+$M$2+$N$2,IFERROR(INDEX(CLOZE_LIST!$A:$K,ROW()-1-$L$2-$M$2+1,10),""),IF(ROW()-1&lt;=$L$2+$M$2+$N$2+$O$2,IFERROR(INDEX(PROFORMA!$A:$K,ROW()-1-$L$2-$M$2-$N$2+1,10),""),"")))))</f>
        <v>image_notes</v>
      </c>
      <c r="K312" s="3">
        <f>IF(ROW()-1&lt;=0,"",IF(ROW()-1&lt;=$L$2,IFERROR(INDEX(MCQ!$A:$K,ROW()-1+1,11),""),IF(ROW()-1&lt;=$L$2+$M$2,IFERROR(INDEX(CLOZE_AB!$A:$K,ROW()-1-$L$2+1,11),""),IF(ROW()-1&lt;=$L$2+$M$2+$N$2,IFERROR(INDEX(CLOZE_LIST!$A:$K,ROW()-1-$L$2-$M$2+1,11),""),IF(ROW()-1&lt;=$L$2+$M$2+$N$2+$O$2,IFERROR(INDEX(PROFORMA!$A:$K,ROW()-1-$L$2-$M$2-$N$2+1,11),""),"")))))</f>
        <v>1</v>
      </c>
      <c r="L312" s="3">
        <f>COUNTA(MCQ!$A:$A)-1</f>
        <v>122</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LIST_IHT_REQ_DEEMDOM_003</v>
      </c>
      <c r="B313" s="3" t="str">
        <f>IF(ROW()-1&lt;=0,"",IF(ROW()-1&lt;=$L$2,IFERROR(INDEX(MCQ!$A:$K,ROW()-1+1,2),""),IF(ROW()-1&lt;=$L$2+$M$2,IFERROR(INDEX(CLOZE_AB!$A:$K,ROW()-1-$L$2+1,2),""),IF(ROW()-1&lt;=$L$2+$M$2+$N$2,IFERROR(INDEX(CLOZE_LIST!$A:$K,ROW()-1-$L$2-$M$2+1,2),""),IF(ROW()-1&lt;=$L$2+$M$2+$N$2+$O$2,IFERROR(INDEX(PROFORMA!$A:$K,ROW()-1-$L$2-$M$2-$N$2+1,2),""),"")))))</f>
        <v>Inheritance tax</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Deemed domicile (IHT vs CGT/IT)</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iht|fukdi</v>
      </c>
      <c r="J313" s="3" t="str">
        <f>IF(ROW()-1&lt;=0,"",IF(ROW()-1&lt;=$L$2,IFERROR(INDEX(MCQ!$A:$K,ROW()-1+1,10),""),IF(ROW()-1&lt;=$L$2+$M$2,IFERROR(INDEX(CLOZE_AB!$A:$K,ROW()-1-$L$2+1,10),""),IF(ROW()-1&lt;=$L$2+$M$2+$N$2,IFERROR(INDEX(CLOZE_LIST!$A:$K,ROW()-1-$L$2-$M$2+1,10),""),IF(ROW()-1&lt;=$L$2+$M$2+$N$2+$O$2,IFERROR(INDEX(PROFORMA!$A:$K,ROW()-1-$L$2-$M$2-$N$2+1,10),""),"")))))</f>
        <v>image_notes</v>
      </c>
      <c r="K313" s="3">
        <f>IF(ROW()-1&lt;=0,"",IF(ROW()-1&lt;=$L$2,IFERROR(INDEX(MCQ!$A:$K,ROW()-1+1,11),""),IF(ROW()-1&lt;=$L$2+$M$2,IFERROR(INDEX(CLOZE_AB!$A:$K,ROW()-1-$L$2+1,11),""),IF(ROW()-1&lt;=$L$2+$M$2+$N$2,IFERROR(INDEX(CLOZE_LIST!$A:$K,ROW()-1-$L$2-$M$2+1,11),""),IF(ROW()-1&lt;=$L$2+$M$2+$N$2+$O$2,IFERROR(INDEX(PROFORMA!$A:$K,ROW()-1-$L$2-$M$2-$N$2+1,11),""),"")))))</f>
        <v>1</v>
      </c>
      <c r="L313" s="3">
        <f>COUNTA(MCQ!$A:$A)-1</f>
        <v>122</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LIST_IHT_REQ_DEEMDOM_004</v>
      </c>
      <c r="B314" s="3" t="str">
        <f>IF(ROW()-1&lt;=0,"",IF(ROW()-1&lt;=$L$2,IFERROR(INDEX(MCQ!$A:$K,ROW()-1+1,2),""),IF(ROW()-1&lt;=$L$2+$M$2,IFERROR(INDEX(CLOZE_AB!$A:$K,ROW()-1-$L$2+1,2),""),IF(ROW()-1&lt;=$L$2+$M$2+$N$2,IFERROR(INDEX(CLOZE_LIST!$A:$K,ROW()-1-$L$2-$M$2+1,2),""),IF(ROW()-1&lt;=$L$2+$M$2+$N$2+$O$2,IFERROR(INDEX(PROFORMA!$A:$K,ROW()-1-$L$2-$M$2-$N$2+1,2),""),"")))))</f>
        <v>Inheritance tax</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Deemed domicile (IHT vs CGT/IT)</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iht|uk_resident_route</v>
      </c>
      <c r="J314" s="3" t="str">
        <f>IF(ROW()-1&lt;=0,"",IF(ROW()-1&lt;=$L$2,IFERROR(INDEX(MCQ!$A:$K,ROW()-1+1,10),""),IF(ROW()-1&lt;=$L$2+$M$2,IFERROR(INDEX(CLOZE_AB!$A:$K,ROW()-1-$L$2+1,10),""),IF(ROW()-1&lt;=$L$2+$M$2+$N$2,IFERROR(INDEX(CLOZE_LIST!$A:$K,ROW()-1-$L$2-$M$2+1,10),""),IF(ROW()-1&lt;=$L$2+$M$2+$N$2+$O$2,IFERROR(INDEX(PROFORMA!$A:$K,ROW()-1-$L$2-$M$2-$N$2+1,10),""),"")))))</f>
        <v>image_notes</v>
      </c>
      <c r="K314" s="3">
        <f>IF(ROW()-1&lt;=0,"",IF(ROW()-1&lt;=$L$2,IFERROR(INDEX(MCQ!$A:$K,ROW()-1+1,11),""),IF(ROW()-1&lt;=$L$2+$M$2,IFERROR(INDEX(CLOZE_AB!$A:$K,ROW()-1-$L$2+1,11),""),IF(ROW()-1&lt;=$L$2+$M$2+$N$2,IFERROR(INDEX(CLOZE_LIST!$A:$K,ROW()-1-$L$2-$M$2+1,11),""),IF(ROW()-1&lt;=$L$2+$M$2+$N$2+$O$2,IFERROR(INDEX(PROFORMA!$A:$K,ROW()-1-$L$2-$M$2-$N$2+1,11),""),"")))))</f>
        <v>1</v>
      </c>
      <c r="L314" s="3">
        <f>COUNTA(MCQ!$A:$A)-1</f>
        <v>122</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LIST_IHT_REQ_DEEMDOM_005</v>
      </c>
      <c r="B315" s="3" t="str">
        <f>IF(ROW()-1&lt;=0,"",IF(ROW()-1&lt;=$L$2,IFERROR(INDEX(MCQ!$A:$K,ROW()-1+1,2),""),IF(ROW()-1&lt;=$L$2+$M$2,IFERROR(INDEX(CLOZE_AB!$A:$K,ROW()-1-$L$2+1,2),""),IF(ROW()-1&lt;=$L$2+$M$2+$N$2,IFERROR(INDEX(CLOZE_LIST!$A:$K,ROW()-1-$L$2-$M$2+1,2),""),IF(ROW()-1&lt;=$L$2+$M$2+$N$2+$O$2,IFERROR(INDEX(PROFORMA!$A:$K,ROW()-1-$L$2-$M$2-$N$2+1,2),""),"")))))</f>
        <v>Inheritance tax</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Deemed domicile (IHT vs CGT/IT)</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iht|comparison_windows</v>
      </c>
      <c r="J315" s="3" t="str">
        <f>IF(ROW()-1&lt;=0,"",IF(ROW()-1&lt;=$L$2,IFERROR(INDEX(MCQ!$A:$K,ROW()-1+1,10),""),IF(ROW()-1&lt;=$L$2+$M$2,IFERROR(INDEX(CLOZE_AB!$A:$K,ROW()-1-$L$2+1,10),""),IF(ROW()-1&lt;=$L$2+$M$2+$N$2,IFERROR(INDEX(CLOZE_LIST!$A:$K,ROW()-1-$L$2-$M$2+1,10),""),IF(ROW()-1&lt;=$L$2+$M$2+$N$2+$O$2,IFERROR(INDEX(PROFORMA!$A:$K,ROW()-1-$L$2-$M$2-$N$2+1,10),""),"")))))</f>
        <v>image_notes</v>
      </c>
      <c r="K315" s="3">
        <f>IF(ROW()-1&lt;=0,"",IF(ROW()-1&lt;=$L$2,IFERROR(INDEX(MCQ!$A:$K,ROW()-1+1,11),""),IF(ROW()-1&lt;=$L$2+$M$2,IFERROR(INDEX(CLOZE_AB!$A:$K,ROW()-1-$L$2+1,11),""),IF(ROW()-1&lt;=$L$2+$M$2+$N$2,IFERROR(INDEX(CLOZE_LIST!$A:$K,ROW()-1-$L$2-$M$2+1,11),""),IF(ROW()-1&lt;=$L$2+$M$2+$N$2+$O$2,IFERROR(INDEX(PROFORMA!$A:$K,ROW()-1-$L$2-$M$2-$N$2+1,11),""),"")))))</f>
        <v>1</v>
      </c>
      <c r="L315" s="3">
        <f>COUNTA(MCQ!$A:$A)-1</f>
        <v>122</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LIST_IHT_REQ_DEEMDOM_006</v>
      </c>
      <c r="B316" s="3" t="str">
        <f>IF(ROW()-1&lt;=0,"",IF(ROW()-1&lt;=$L$2,IFERROR(INDEX(MCQ!$A:$K,ROW()-1+1,2),""),IF(ROW()-1&lt;=$L$2+$M$2,IFERROR(INDEX(CLOZE_AB!$A:$K,ROW()-1-$L$2+1,2),""),IF(ROW()-1&lt;=$L$2+$M$2+$N$2,IFERROR(INDEX(CLOZE_LIST!$A:$K,ROW()-1-$L$2-$M$2+1,2),""),IF(ROW()-1&lt;=$L$2+$M$2+$N$2+$O$2,IFERROR(INDEX(PROFORMA!$A:$K,ROW()-1-$L$2-$M$2-$N$2+1,2),""),"")))))</f>
        <v>Inheritance tax</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Deemed domicile (IHT vs CGT/IT)</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iht|trigger_time</v>
      </c>
      <c r="J316" s="3" t="str">
        <f>IF(ROW()-1&lt;=0,"",IF(ROW()-1&lt;=$L$2,IFERROR(INDEX(MCQ!$A:$K,ROW()-1+1,10),""),IF(ROW()-1&lt;=$L$2+$M$2,IFERROR(INDEX(CLOZE_AB!$A:$K,ROW()-1-$L$2+1,10),""),IF(ROW()-1&lt;=$L$2+$M$2+$N$2,IFERROR(INDEX(CLOZE_LIST!$A:$K,ROW()-1-$L$2-$M$2+1,10),""),IF(ROW()-1&lt;=$L$2+$M$2+$N$2+$O$2,IFERROR(INDEX(PROFORMA!$A:$K,ROW()-1-$L$2-$M$2-$N$2+1,10),""),"")))))</f>
        <v>image_notes</v>
      </c>
      <c r="K316" s="3">
        <f>IF(ROW()-1&lt;=0,"",IF(ROW()-1&lt;=$L$2,IFERROR(INDEX(MCQ!$A:$K,ROW()-1+1,11),""),IF(ROW()-1&lt;=$L$2+$M$2,IFERROR(INDEX(CLOZE_AB!$A:$K,ROW()-1-$L$2+1,11),""),IF(ROW()-1&lt;=$L$2+$M$2+$N$2,IFERROR(INDEX(CLOZE_LIST!$A:$K,ROW()-1-$L$2-$M$2+1,11),""),IF(ROW()-1&lt;=$L$2+$M$2+$N$2+$O$2,IFERROR(INDEX(PROFORMA!$A:$K,ROW()-1-$L$2-$M$2-$N$2+1,11),""),"")))))</f>
        <v>1</v>
      </c>
      <c r="L316" s="3">
        <f>COUNTA(MCQ!$A:$A)-1</f>
        <v>122</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LIST_IHT_CALC_DTR_001</v>
      </c>
      <c r="B317" s="3" t="str">
        <f>IF(ROW()-1&lt;=0,"",IF(ROW()-1&lt;=$L$2,IFERROR(INDEX(MCQ!$A:$K,ROW()-1+1,2),""),IF(ROW()-1&lt;=$L$2+$M$2,IFERROR(INDEX(CLOZE_AB!$A:$K,ROW()-1-$L$2+1,2),""),IF(ROW()-1&lt;=$L$2+$M$2+$N$2,IFERROR(INDEX(CLOZE_LIST!$A:$K,ROW()-1-$L$2-$M$2+1,2),""),IF(ROW()-1&lt;=$L$2+$M$2+$N$2+$O$2,IFERROR(INDEX(PROFORMA!$A:$K,ROW()-1-$L$2-$M$2-$N$2+1,2),""),"")))))</f>
        <v>Inheritance tax</v>
      </c>
      <c r="C317" s="3" t="str">
        <f>IF(ROW()-1&lt;=0,"",IF(ROW()-1&lt;=$L$2,IFERROR(INDEX(MCQ!$A:$K,ROW()-1+1,3),""),IF(ROW()-1&lt;=$L$2+$M$2,IFERROR(INDEX(CLOZE_AB!$A:$K,ROW()-1-$L$2+1,3),""),IF(ROW()-1&lt;=$L$2+$M$2+$N$2,IFERROR(INDEX(CLOZE_LIST!$A:$K,ROW()-1-$L$2-$M$2+1,3),""),IF(ROW()-1&lt;=$L$2+$M$2+$N$2+$O$2,IFERROR(INDEX(PROFORMA!$A:$K,ROW()-1-$L$2-$M$2-$N$2+1,3),""),"")))))</f>
        <v>calculations</v>
      </c>
      <c r="D317" s="3" t="str">
        <f>IF(ROW()-1&lt;=0,"",IF(ROW()-1&lt;=$L$2,IFERROR(INDEX(MCQ!$A:$K,ROW()-1+1,4),""),IF(ROW()-1&lt;=$L$2+$M$2,IFERROR(INDEX(CLOZE_AB!$A:$K,ROW()-1-$L$2+1,4),""),IF(ROW()-1&lt;=$L$2+$M$2+$N$2,IFERROR(INDEX(CLOZE_LIST!$A:$K,ROW()-1-$L$2-$M$2+1,4),""),IF(ROW()-1&lt;=$L$2+$M$2+$N$2+$O$2,IFERROR(INDEX(PROFORMA!$A:$K,ROW()-1-$L$2-$M$2-$N$2+1,4),""),"")))))</f>
        <v>Double taxation relief</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iht:dtr</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122</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LIST_IHT_CALC_GIFTRESBEN_001</v>
      </c>
      <c r="B318" s="3" t="str">
        <f>IF(ROW()-1&lt;=0,"",IF(ROW()-1&lt;=$L$2,IFERROR(INDEX(MCQ!$A:$K,ROW()-1+1,2),""),IF(ROW()-1&lt;=$L$2+$M$2,IFERROR(INDEX(CLOZE_AB!$A:$K,ROW()-1-$L$2+1,2),""),IF(ROW()-1&lt;=$L$2+$M$2+$N$2,IFERROR(INDEX(CLOZE_LIST!$A:$K,ROW()-1-$L$2-$M$2+1,2),""),IF(ROW()-1&lt;=$L$2+$M$2+$N$2+$O$2,IFERROR(INDEX(PROFORMA!$A:$K,ROW()-1-$L$2-$M$2-$N$2+1,2),""),"")))))</f>
        <v>Inheritance tax</v>
      </c>
      <c r="C318" s="3" t="str">
        <f>IF(ROW()-1&lt;=0,"",IF(ROW()-1&lt;=$L$2,IFERROR(INDEX(MCQ!$A:$K,ROW()-1+1,3),""),IF(ROW()-1&lt;=$L$2+$M$2,IFERROR(INDEX(CLOZE_AB!$A:$K,ROW()-1-$L$2+1,3),""),IF(ROW()-1&lt;=$L$2+$M$2+$N$2,IFERROR(INDEX(CLOZE_LIST!$A:$K,ROW()-1-$L$2-$M$2+1,3),""),IF(ROW()-1&lt;=$L$2+$M$2+$N$2+$O$2,IFERROR(INDEX(PROFORMA!$A:$K,ROW()-1-$L$2-$M$2-$N$2+1,3),""),"")))))</f>
        <v>calculations</v>
      </c>
      <c r="D318" s="3" t="str">
        <f>IF(ROW()-1&lt;=0,"",IF(ROW()-1&lt;=$L$2,IFERROR(INDEX(MCQ!$A:$K,ROW()-1+1,4),""),IF(ROW()-1&lt;=$L$2+$M$2,IFERROR(INDEX(CLOZE_AB!$A:$K,ROW()-1-$L$2+1,4),""),IF(ROW()-1&lt;=$L$2+$M$2+$N$2,IFERROR(INDEX(CLOZE_LIST!$A:$K,ROW()-1-$L$2-$M$2+1,4),""),IF(ROW()-1&lt;=$L$2+$M$2+$N$2+$O$2,IFERROR(INDEX(PROFORMA!$A:$K,ROW()-1-$L$2-$M$2-$N$2+1,4),""),"")))))</f>
        <v>Valuations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iht:gifts_reservation_benefit</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122</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LIST_ITNIC_CALC_LEASES_001</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calculations</v>
      </c>
      <c r="D319" s="3" t="str">
        <f>IF(ROW()-1&lt;=0,"",IF(ROW()-1&lt;=$L$2,IFERROR(INDEX(MCQ!$A:$K,ROW()-1+1,4),""),IF(ROW()-1&lt;=$L$2+$M$2,IFERROR(INDEX(CLOZE_AB!$A:$K,ROW()-1-$L$2+1,4),""),IF(ROW()-1&lt;=$L$2+$M$2+$N$2,IFERROR(INDEX(CLOZE_LIST!$A:$K,ROW()-1-$L$2-$M$2+1,4),""),IF(ROW()-1&lt;=$L$2+$M$2+$N$2+$O$2,IFERROR(INDEX(PROFORMA!$A:$K,ROW()-1-$L$2-$M$2-$N$2+1,4),""),"")))))</f>
        <v>Lease premiums</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lease_premium</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122</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LIST_ITNIC_CALC_LEASES_002</v>
      </c>
      <c r="B320" s="3" t="str">
        <f>IF(ROW()-1&lt;=0,"",IF(ROW()-1&lt;=$L$2,IFERROR(INDEX(MCQ!$A:$K,ROW()-1+1,2),""),IF(ROW()-1&lt;=$L$2+$M$2,IFERROR(INDEX(CLOZE_AB!$A:$K,ROW()-1-$L$2+1,2),""),IF(ROW()-1&lt;=$L$2+$M$2+$N$2,IFERROR(INDEX(CLOZE_LIST!$A:$K,ROW()-1-$L$2-$M$2+1,2),""),IF(ROW()-1&lt;=$L$2+$M$2+$N$2+$O$2,IFERROR(INDEX(PROFORMA!$A:$K,ROW()-1-$L$2-$M$2-$N$2+1,2),""),"")))))</f>
        <v>Income tax &amp; NIC</v>
      </c>
      <c r="C320" s="3" t="str">
        <f>IF(ROW()-1&lt;=0,"",IF(ROW()-1&lt;=$L$2,IFERROR(INDEX(MCQ!$A:$K,ROW()-1+1,3),""),IF(ROW()-1&lt;=$L$2+$M$2,IFERROR(INDEX(CLOZE_AB!$A:$K,ROW()-1-$L$2+1,3),""),IF(ROW()-1&lt;=$L$2+$M$2+$N$2,IFERROR(INDEX(CLOZE_LIST!$A:$K,ROW()-1-$L$2-$M$2+1,3),""),IF(ROW()-1&lt;=$L$2+$M$2+$N$2+$O$2,IFERROR(INDEX(PROFORMA!$A:$K,ROW()-1-$L$2-$M$2-$N$2+1,3),""),"")))))</f>
        <v>calculations</v>
      </c>
      <c r="D320" s="3" t="str">
        <f>IF(ROW()-1&lt;=0,"",IF(ROW()-1&lt;=$L$2,IFERROR(INDEX(MCQ!$A:$K,ROW()-1+1,4),""),IF(ROW()-1&lt;=$L$2+$M$2,IFERROR(INDEX(CLOZE_AB!$A:$K,ROW()-1-$L$2+1,4),""),IF(ROW()-1&lt;=$L$2+$M$2+$N$2,IFERROR(INDEX(CLOZE_LIST!$A:$K,ROW()-1-$L$2-$M$2+1,4),""),IF(ROW()-1&lt;=$L$2+$M$2+$N$2+$O$2,IFERROR(INDEX(PROFORMA!$A:$K,ROW()-1-$L$2-$M$2-$N$2+1,4),""),"")))))</f>
        <v>Lease premiums</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lease_premium</v>
      </c>
      <c r="J320" s="3" t="str">
        <f>IF(ROW()-1&lt;=0,"",IF(ROW()-1&lt;=$L$2,IFERROR(INDEX(MCQ!$A:$K,ROW()-1+1,10),""),IF(ROW()-1&lt;=$L$2+$M$2,IFERROR(INDEX(CLOZE_AB!$A:$K,ROW()-1-$L$2+1,10),""),IF(ROW()-1&lt;=$L$2+$M$2+$N$2,IFERROR(INDEX(CLOZE_LIST!$A:$K,ROW()-1-$L$2-$M$2+1,10),""),IF(ROW()-1&lt;=$L$2+$M$2+$N$2+$O$2,IFERROR(INDEX(PROFORMA!$A:$K,ROW()-1-$L$2-$M$2-$N$2+1,10),""),"")))))</f>
        <v>notes</v>
      </c>
      <c r="K320" s="3">
        <f>IF(ROW()-1&lt;=0,"",IF(ROW()-1&lt;=$L$2,IFERROR(INDEX(MCQ!$A:$K,ROW()-1+1,11),""),IF(ROW()-1&lt;=$L$2+$M$2,IFERROR(INDEX(CLOZE_AB!$A:$K,ROW()-1-$L$2+1,11),""),IF(ROW()-1&lt;=$L$2+$M$2+$N$2,IFERROR(INDEX(CLOZE_LIST!$A:$K,ROW()-1-$L$2-$M$2+1,11),""),IF(ROW()-1&lt;=$L$2+$M$2+$N$2+$O$2,IFERROR(INDEX(PROFORMA!$A:$K,ROW()-1-$L$2-$M$2-$N$2+1,11),""),"")))))</f>
        <v>1</v>
      </c>
      <c r="L320" s="3">
        <f>COUNTA(MCQ!$A:$A)-1</f>
        <v>122</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LIST_ITNIC_DEF_BADGES_001</v>
      </c>
      <c r="B321" s="3" t="str">
        <f>IF(ROW()-1&lt;=0,"",IF(ROW()-1&lt;=$L$2,IFERROR(INDEX(MCQ!$A:$K,ROW()-1+1,2),""),IF(ROW()-1&lt;=$L$2+$M$2,IFERROR(INDEX(CLOZE_AB!$A:$K,ROW()-1-$L$2+1,2),""),IF(ROW()-1&lt;=$L$2+$M$2+$N$2,IFERROR(INDEX(CLOZE_LIST!$A:$K,ROW()-1-$L$2-$M$2+1,2),""),IF(ROW()-1&lt;=$L$2+$M$2+$N$2+$O$2,IFERROR(INDEX(PROFORMA!$A:$K,ROW()-1-$L$2-$M$2-$N$2+1,2),""),"")))))</f>
        <v>Income tax &amp; NIC</v>
      </c>
      <c r="C321" s="3" t="str">
        <f>IF(ROW()-1&lt;=0,"",IF(ROW()-1&lt;=$L$2,IFERROR(INDEX(MCQ!$A:$K,ROW()-1+1,3),""),IF(ROW()-1&lt;=$L$2+$M$2,IFERROR(INDEX(CLOZE_AB!$A:$K,ROW()-1-$L$2+1,3),""),IF(ROW()-1&lt;=$L$2+$M$2+$N$2,IFERROR(INDEX(CLOZE_LIST!$A:$K,ROW()-1-$L$2-$M$2+1,3),""),IF(ROW()-1&lt;=$L$2+$M$2+$N$2+$O$2,IFERROR(INDEX(PROFORMA!$A:$K,ROW()-1-$L$2-$M$2-$N$2+1,3),""),"")))))</f>
        <v>definitions</v>
      </c>
      <c r="D321" s="3" t="str">
        <f>IF(ROW()-1&lt;=0,"",IF(ROW()-1&lt;=$L$2,IFERROR(INDEX(MCQ!$A:$K,ROW()-1+1,4),""),IF(ROW()-1&lt;=$L$2+$M$2,IFERROR(INDEX(CLOZE_AB!$A:$K,ROW()-1-$L$2+1,4),""),IF(ROW()-1&lt;=$L$2+$M$2+$N$2,IFERROR(INDEX(CLOZE_LIST!$A:$K,ROW()-1-$L$2-$M$2+1,4),""),IF(ROW()-1&lt;=$L$2+$M$2+$N$2+$O$2,IFERROR(INDEX(PROFORMA!$A:$K,ROW()-1-$L$2-$M$2-$N$2+1,4),""),"")))))</f>
        <v>Badges of trade</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badges;mapping</v>
      </c>
      <c r="J321" s="3" t="str">
        <f>IF(ROW()-1&lt;=0,"",IF(ROW()-1&lt;=$L$2,IFERROR(INDEX(MCQ!$A:$K,ROW()-1+1,10),""),IF(ROW()-1&lt;=$L$2+$M$2,IFERROR(INDEX(CLOZE_AB!$A:$K,ROW()-1-$L$2+1,10),""),IF(ROW()-1&lt;=$L$2+$M$2+$N$2,IFERROR(INDEX(CLOZE_LIST!$A:$K,ROW()-1-$L$2-$M$2+1,10),""),IF(ROW()-1&lt;=$L$2+$M$2+$N$2+$O$2,IFERROR(INDEX(PROFORMA!$A:$K,ROW()-1-$L$2-$M$2-$N$2+1,10),""),"")))))</f>
        <v>assistant_generated</v>
      </c>
      <c r="K321" s="3">
        <f>IF(ROW()-1&lt;=0,"",IF(ROW()-1&lt;=$L$2,IFERROR(INDEX(MCQ!$A:$K,ROW()-1+1,11),""),IF(ROW()-1&lt;=$L$2+$M$2,IFERROR(INDEX(CLOZE_AB!$A:$K,ROW()-1-$L$2+1,11),""),IF(ROW()-1&lt;=$L$2+$M$2+$N$2,IFERROR(INDEX(CLOZE_LIST!$A:$K,ROW()-1-$L$2-$M$2+1,11),""),IF(ROW()-1&lt;=$L$2+$M$2+$N$2+$O$2,IFERROR(INDEX(PROFORMA!$A:$K,ROW()-1-$L$2-$M$2-$N$2+1,11),""),"")))))</f>
        <v>1</v>
      </c>
      <c r="L321" s="3">
        <f>COUNTA(MCQ!$A:$A)-1</f>
        <v>122</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LIST_ITNIC_DEF_BADGES_002</v>
      </c>
      <c r="B322" s="3" t="str">
        <f>IF(ROW()-1&lt;=0,"",IF(ROW()-1&lt;=$L$2,IFERROR(INDEX(MCQ!$A:$K,ROW()-1+1,2),""),IF(ROW()-1&lt;=$L$2+$M$2,IFERROR(INDEX(CLOZE_AB!$A:$K,ROW()-1-$L$2+1,2),""),IF(ROW()-1&lt;=$L$2+$M$2+$N$2,IFERROR(INDEX(CLOZE_LIST!$A:$K,ROW()-1-$L$2-$M$2+1,2),""),IF(ROW()-1&lt;=$L$2+$M$2+$N$2+$O$2,IFERROR(INDEX(PROFORMA!$A:$K,ROW()-1-$L$2-$M$2-$N$2+1,2),""),"")))))</f>
        <v>Income tax &amp; NIC</v>
      </c>
      <c r="C322" s="3" t="str">
        <f>IF(ROW()-1&lt;=0,"",IF(ROW()-1&lt;=$L$2,IFERROR(INDEX(MCQ!$A:$K,ROW()-1+1,3),""),IF(ROW()-1&lt;=$L$2+$M$2,IFERROR(INDEX(CLOZE_AB!$A:$K,ROW()-1-$L$2+1,3),""),IF(ROW()-1&lt;=$L$2+$M$2+$N$2,IFERROR(INDEX(CLOZE_LIST!$A:$K,ROW()-1-$L$2-$M$2+1,3),""),IF(ROW()-1&lt;=$L$2+$M$2+$N$2+$O$2,IFERROR(INDEX(PROFORMA!$A:$K,ROW()-1-$L$2-$M$2-$N$2+1,3),""),"")))))</f>
        <v>definitions</v>
      </c>
      <c r="D322" s="3" t="str">
        <f>IF(ROW()-1&lt;=0,"",IF(ROW()-1&lt;=$L$2,IFERROR(INDEX(MCQ!$A:$K,ROW()-1+1,4),""),IF(ROW()-1&lt;=$L$2+$M$2,IFERROR(INDEX(CLOZE_AB!$A:$K,ROW()-1-$L$2+1,4),""),IF(ROW()-1&lt;=$L$2+$M$2+$N$2,IFERROR(INDEX(CLOZE_LIST!$A:$K,ROW()-1-$L$2-$M$2+1,4),""),IF(ROW()-1&lt;=$L$2+$M$2+$N$2+$O$2,IFERROR(INDEX(PROFORMA!$A:$K,ROW()-1-$L$2-$M$2-$N$2+1,4),""),"")))))</f>
        <v>Badges of trade</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badges;mapping</v>
      </c>
      <c r="J322" s="3" t="str">
        <f>IF(ROW()-1&lt;=0,"",IF(ROW()-1&lt;=$L$2,IFERROR(INDEX(MCQ!$A:$K,ROW()-1+1,10),""),IF(ROW()-1&lt;=$L$2+$M$2,IFERROR(INDEX(CLOZE_AB!$A:$K,ROW()-1-$L$2+1,10),""),IF(ROW()-1&lt;=$L$2+$M$2+$N$2,IFERROR(INDEX(CLOZE_LIST!$A:$K,ROW()-1-$L$2-$M$2+1,10),""),IF(ROW()-1&lt;=$L$2+$M$2+$N$2+$O$2,IFERROR(INDEX(PROFORMA!$A:$K,ROW()-1-$L$2-$M$2-$N$2+1,10),""),"")))))</f>
        <v>assistant_generated</v>
      </c>
      <c r="K322" s="3">
        <f>IF(ROW()-1&lt;=0,"",IF(ROW()-1&lt;=$L$2,IFERROR(INDEX(MCQ!$A:$K,ROW()-1+1,11),""),IF(ROW()-1&lt;=$L$2+$M$2,IFERROR(INDEX(CLOZE_AB!$A:$K,ROW()-1-$L$2+1,11),""),IF(ROW()-1&lt;=$L$2+$M$2+$N$2,IFERROR(INDEX(CLOZE_LIST!$A:$K,ROW()-1-$L$2-$M$2+1,11),""),IF(ROW()-1&lt;=$L$2+$M$2+$N$2+$O$2,IFERROR(INDEX(PROFORMA!$A:$K,ROW()-1-$L$2-$M$2-$N$2+1,11),""),"")))))</f>
        <v>1</v>
      </c>
      <c r="L322" s="3">
        <f>COUNTA(MCQ!$A:$A)-1</f>
        <v>122</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LIST_CGT_REQ_PAYMENT_001</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 xml:space="preserve">Payment </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poa</v>
      </c>
      <c r="J323" s="3" t="str">
        <f>IF(ROW()-1&lt;=0,"",IF(ROW()-1&lt;=$L$2,IFERROR(INDEX(MCQ!$A:$K,ROW()-1+1,10),""),IF(ROW()-1&lt;=$L$2+$M$2,IFERROR(INDEX(CLOZE_AB!$A:$K,ROW()-1-$L$2+1,10),""),IF(ROW()-1&lt;=$L$2+$M$2+$N$2,IFERROR(INDEX(CLOZE_LIST!$A:$K,ROW()-1-$L$2-$M$2+1,10),""),IF(ROW()-1&lt;=$L$2+$M$2+$N$2+$O$2,IFERROR(INDEX(PROFORMA!$A:$K,ROW()-1-$L$2-$M$2-$N$2+1,10),""),"")))))</f>
        <v>written</v>
      </c>
      <c r="K323" s="3">
        <f>IF(ROW()-1&lt;=0,"",IF(ROW()-1&lt;=$L$2,IFERROR(INDEX(MCQ!$A:$K,ROW()-1+1,11),""),IF(ROW()-1&lt;=$L$2+$M$2,IFERROR(INDEX(CLOZE_AB!$A:$K,ROW()-1-$L$2+1,11),""),IF(ROW()-1&lt;=$L$2+$M$2+$N$2,IFERROR(INDEX(CLOZE_LIST!$A:$K,ROW()-1-$L$2-$M$2+1,11),""),IF(ROW()-1&lt;=$L$2+$M$2+$N$2+$O$2,IFERROR(INDEX(PROFORMA!$A:$K,ROW()-1-$L$2-$M$2-$N$2+1,11),""),"")))))</f>
        <v>1</v>
      </c>
      <c r="L323" s="3">
        <f>COUNTA(MCQ!$A:$A)-1</f>
        <v>122</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LIST_CGT_REQ_DEATH_001</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Death</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death</v>
      </c>
      <c r="J324" s="3" t="str">
        <f>IF(ROW()-1&lt;=0,"",IF(ROW()-1&lt;=$L$2,IFERROR(INDEX(MCQ!$A:$K,ROW()-1+1,10),""),IF(ROW()-1&lt;=$L$2+$M$2,IFERROR(INDEX(CLOZE_AB!$A:$K,ROW()-1-$L$2+1,10),""),IF(ROW()-1&lt;=$L$2+$M$2+$N$2,IFERROR(INDEX(CLOZE_LIST!$A:$K,ROW()-1-$L$2-$M$2+1,10),""),IF(ROW()-1&lt;=$L$2+$M$2+$N$2+$O$2,IFERROR(INDEX(PROFORMA!$A:$K,ROW()-1-$L$2-$M$2-$N$2+1,10),""),"")))))</f>
        <v>written</v>
      </c>
      <c r="K324" s="3">
        <f>IF(ROW()-1&lt;=0,"",IF(ROW()-1&lt;=$L$2,IFERROR(INDEX(MCQ!$A:$K,ROW()-1+1,11),""),IF(ROW()-1&lt;=$L$2+$M$2,IFERROR(INDEX(CLOZE_AB!$A:$K,ROW()-1-$L$2+1,11),""),IF(ROW()-1&lt;=$L$2+$M$2+$N$2,IFERROR(INDEX(CLOZE_LIST!$A:$K,ROW()-1-$L$2-$M$2+1,11),""),IF(ROW()-1&lt;=$L$2+$M$2+$N$2+$O$2,IFERROR(INDEX(PROFORMA!$A:$K,ROW()-1-$L$2-$M$2-$N$2+1,11),""),"")))))</f>
        <v>1</v>
      </c>
      <c r="L324" s="3">
        <f>COUNTA(MCQ!$A:$A)-1</f>
        <v>122</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LIST_CGT_REQ_SMALLPARTDISPOSAL_001</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Small part disposals</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small_part_disposals</v>
      </c>
      <c r="J325" s="3" t="str">
        <f>IF(ROW()-1&lt;=0,"",IF(ROW()-1&lt;=$L$2,IFERROR(INDEX(MCQ!$A:$K,ROW()-1+1,10),""),IF(ROW()-1&lt;=$L$2+$M$2,IFERROR(INDEX(CLOZE_AB!$A:$K,ROW()-1-$L$2+1,10),""),IF(ROW()-1&lt;=$L$2+$M$2+$N$2,IFERROR(INDEX(CLOZE_LIST!$A:$K,ROW()-1-$L$2-$M$2+1,10),""),IF(ROW()-1&lt;=$L$2+$M$2+$N$2+$O$2,IFERROR(INDEX(PROFORMA!$A:$K,ROW()-1-$L$2-$M$2-$N$2+1,10),""),"")))))</f>
        <v>written</v>
      </c>
      <c r="K325" s="3">
        <f>IF(ROW()-1&lt;=0,"",IF(ROW()-1&lt;=$L$2,IFERROR(INDEX(MCQ!$A:$K,ROW()-1+1,11),""),IF(ROW()-1&lt;=$L$2+$M$2,IFERROR(INDEX(CLOZE_AB!$A:$K,ROW()-1-$L$2+1,11),""),IF(ROW()-1&lt;=$L$2+$M$2+$N$2,IFERROR(INDEX(CLOZE_LIST!$A:$K,ROW()-1-$L$2-$M$2+1,11),""),IF(ROW()-1&lt;=$L$2+$M$2+$N$2+$O$2,IFERROR(INDEX(PROFORMA!$A:$K,ROW()-1-$L$2-$M$2-$N$2+1,11),""),"")))))</f>
        <v>1</v>
      </c>
      <c r="L325" s="3">
        <f>COUNTA(MCQ!$A:$A)-1</f>
        <v>122</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LIST_CGT_REQ_SMALLPARTDISPOSAL_002</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Small part disposals</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small_part_disposals</v>
      </c>
      <c r="J326" s="3" t="str">
        <f>IF(ROW()-1&lt;=0,"",IF(ROW()-1&lt;=$L$2,IFERROR(INDEX(MCQ!$A:$K,ROW()-1+1,10),""),IF(ROW()-1&lt;=$L$2+$M$2,IFERROR(INDEX(CLOZE_AB!$A:$K,ROW()-1-$L$2+1,10),""),IF(ROW()-1&lt;=$L$2+$M$2+$N$2,IFERROR(INDEX(CLOZE_LIST!$A:$K,ROW()-1-$L$2-$M$2+1,10),""),IF(ROW()-1&lt;=$L$2+$M$2+$N$2+$O$2,IFERROR(INDEX(PROFORMA!$A:$K,ROW()-1-$L$2-$M$2-$N$2+1,10),""),"")))))</f>
        <v>written</v>
      </c>
      <c r="K326" s="3">
        <f>IF(ROW()-1&lt;=0,"",IF(ROW()-1&lt;=$L$2,IFERROR(INDEX(MCQ!$A:$K,ROW()-1+1,11),""),IF(ROW()-1&lt;=$L$2+$M$2,IFERROR(INDEX(CLOZE_AB!$A:$K,ROW()-1-$L$2+1,11),""),IF(ROW()-1&lt;=$L$2+$M$2+$N$2,IFERROR(INDEX(CLOZE_LIST!$A:$K,ROW()-1-$L$2-$M$2+1,11),""),IF(ROW()-1&lt;=$L$2+$M$2+$N$2+$O$2,IFERROR(INDEX(PROFORMA!$A:$K,ROW()-1-$L$2-$M$2-$N$2+1,11),""),"")))))</f>
        <v>1</v>
      </c>
      <c r="L326" s="3">
        <f>COUNTA(MCQ!$A:$A)-1</f>
        <v>122</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LIST_CGT_REQ_SMALLPARTDISPOSAL_003</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Small part disposals</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small_part_disposals</v>
      </c>
      <c r="J327" s="3" t="str">
        <f>IF(ROW()-1&lt;=0,"",IF(ROW()-1&lt;=$L$2,IFERROR(INDEX(MCQ!$A:$K,ROW()-1+1,10),""),IF(ROW()-1&lt;=$L$2+$M$2,IFERROR(INDEX(CLOZE_AB!$A:$K,ROW()-1-$L$2+1,10),""),IF(ROW()-1&lt;=$L$2+$M$2+$N$2,IFERROR(INDEX(CLOZE_LIST!$A:$K,ROW()-1-$L$2-$M$2+1,10),""),IF(ROW()-1&lt;=$L$2+$M$2+$N$2+$O$2,IFERROR(INDEX(PROFORMA!$A:$K,ROW()-1-$L$2-$M$2-$N$2+1,10),""),"")))))</f>
        <v>written</v>
      </c>
      <c r="K327" s="3">
        <f>IF(ROW()-1&lt;=0,"",IF(ROW()-1&lt;=$L$2,IFERROR(INDEX(MCQ!$A:$K,ROW()-1+1,11),""),IF(ROW()-1&lt;=$L$2+$M$2,IFERROR(INDEX(CLOZE_AB!$A:$K,ROW()-1-$L$2+1,11),""),IF(ROW()-1&lt;=$L$2+$M$2+$N$2,IFERROR(INDEX(CLOZE_LIST!$A:$K,ROW()-1-$L$2-$M$2+1,11),""),IF(ROW()-1&lt;=$L$2+$M$2+$N$2+$O$2,IFERROR(INDEX(PROFORMA!$A:$K,ROW()-1-$L$2-$M$2-$N$2+1,11),""),"")))))</f>
        <v>1</v>
      </c>
      <c r="L327" s="3">
        <f>COUNTA(MCQ!$A:$A)-1</f>
        <v>122</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LIST_CGT_REQ_SMALLPARTDISPOSAL_004</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Small part disposals</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small_part_disposals</v>
      </c>
      <c r="J328" s="3" t="str">
        <f>IF(ROW()-1&lt;=0,"",IF(ROW()-1&lt;=$L$2,IFERROR(INDEX(MCQ!$A:$K,ROW()-1+1,10),""),IF(ROW()-1&lt;=$L$2+$M$2,IFERROR(INDEX(CLOZE_AB!$A:$K,ROW()-1-$L$2+1,10),""),IF(ROW()-1&lt;=$L$2+$M$2+$N$2,IFERROR(INDEX(CLOZE_LIST!$A:$K,ROW()-1-$L$2-$M$2+1,10),""),IF(ROW()-1&lt;=$L$2+$M$2+$N$2+$O$2,IFERROR(INDEX(PROFORMA!$A:$K,ROW()-1-$L$2-$M$2-$N$2+1,10),""),"")))))</f>
        <v>written</v>
      </c>
      <c r="K328" s="3">
        <f>IF(ROW()-1&lt;=0,"",IF(ROW()-1&lt;=$L$2,IFERROR(INDEX(MCQ!$A:$K,ROW()-1+1,11),""),IF(ROW()-1&lt;=$L$2+$M$2,IFERROR(INDEX(CLOZE_AB!$A:$K,ROW()-1-$L$2+1,11),""),IF(ROW()-1&lt;=$L$2+$M$2+$N$2,IFERROR(INDEX(CLOZE_LIST!$A:$K,ROW()-1-$L$2-$M$2+1,11),""),IF(ROW()-1&lt;=$L$2+$M$2+$N$2+$O$2,IFERROR(INDEX(PROFORMA!$A:$K,ROW()-1-$L$2-$M$2-$N$2+1,11),""),"")))))</f>
        <v>1</v>
      </c>
      <c r="L328" s="3">
        <f>COUNTA(MCQ!$A:$A)-1</f>
        <v>122</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LIST_CGT_REQ_BADR_001</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BADR and goodwill</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4</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BADR_and_goodwill</v>
      </c>
      <c r="J329" s="3" t="str">
        <f>IF(ROW()-1&lt;=0,"",IF(ROW()-1&lt;=$L$2,IFERROR(INDEX(MCQ!$A:$K,ROW()-1+1,10),""),IF(ROW()-1&lt;=$L$2+$M$2,IFERROR(INDEX(CLOZE_AB!$A:$K,ROW()-1-$L$2+1,10),""),IF(ROW()-1&lt;=$L$2+$M$2+$N$2,IFERROR(INDEX(CLOZE_LIST!$A:$K,ROW()-1-$L$2-$M$2+1,10),""),IF(ROW()-1&lt;=$L$2+$M$2+$N$2+$O$2,IFERROR(INDEX(PROFORMA!$A:$K,ROW()-1-$L$2-$M$2-$N$2+1,10),""),"")))))</f>
        <v>written</v>
      </c>
      <c r="K329" s="3">
        <f>IF(ROW()-1&lt;=0,"",IF(ROW()-1&lt;=$L$2,IFERROR(INDEX(MCQ!$A:$K,ROW()-1+1,11),""),IF(ROW()-1&lt;=$L$2+$M$2,IFERROR(INDEX(CLOZE_AB!$A:$K,ROW()-1-$L$2+1,11),""),IF(ROW()-1&lt;=$L$2+$M$2+$N$2,IFERROR(INDEX(CLOZE_LIST!$A:$K,ROW()-1-$L$2-$M$2+1,11),""),IF(ROW()-1&lt;=$L$2+$M$2+$N$2+$O$2,IFERROR(INDEX(PROFORMA!$A:$K,ROW()-1-$L$2-$M$2-$N$2+1,11),""),"")))))</f>
        <v>2</v>
      </c>
      <c r="L329" s="3">
        <f>COUNTA(MCQ!$A:$A)-1</f>
        <v>122</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LIST_CGT_REQ_BADR_002</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BADR and EMI</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5</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BADR_and_EMI</v>
      </c>
      <c r="J330" s="3" t="str">
        <f>IF(ROW()-1&lt;=0,"",IF(ROW()-1&lt;=$L$2,IFERROR(INDEX(MCQ!$A:$K,ROW()-1+1,10),""),IF(ROW()-1&lt;=$L$2+$M$2,IFERROR(INDEX(CLOZE_AB!$A:$K,ROW()-1-$L$2+1,10),""),IF(ROW()-1&lt;=$L$2+$M$2+$N$2,IFERROR(INDEX(CLOZE_LIST!$A:$K,ROW()-1-$L$2-$M$2+1,10),""),IF(ROW()-1&lt;=$L$2+$M$2+$N$2+$O$2,IFERROR(INDEX(PROFORMA!$A:$K,ROW()-1-$L$2-$M$2-$N$2+1,10),""),"")))))</f>
        <v>written</v>
      </c>
      <c r="K330" s="3">
        <f>IF(ROW()-1&lt;=0,"",IF(ROW()-1&lt;=$L$2,IFERROR(INDEX(MCQ!$A:$K,ROW()-1+1,11),""),IF(ROW()-1&lt;=$L$2+$M$2,IFERROR(INDEX(CLOZE_AB!$A:$K,ROW()-1-$L$2+1,11),""),IF(ROW()-1&lt;=$L$2+$M$2+$N$2,IFERROR(INDEX(CLOZE_LIST!$A:$K,ROW()-1-$L$2-$M$2+1,11),""),IF(ROW()-1&lt;=$L$2+$M$2+$N$2+$O$2,IFERROR(INDEX(PROFORMA!$A:$K,ROW()-1-$L$2-$M$2-$N$2+1,11),""),"")))))</f>
        <v>3</v>
      </c>
      <c r="L330" s="3">
        <f>COUNTA(MCQ!$A:$A)-1</f>
        <v>122</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LIST_CGT_REQ_BADR_003</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BADR associated disposals</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6</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BADR_associated_disposals</v>
      </c>
      <c r="J331" s="3" t="str">
        <f>IF(ROW()-1&lt;=0,"",IF(ROW()-1&lt;=$L$2,IFERROR(INDEX(MCQ!$A:$K,ROW()-1+1,10),""),IF(ROW()-1&lt;=$L$2+$M$2,IFERROR(INDEX(CLOZE_AB!$A:$K,ROW()-1-$L$2+1,10),""),IF(ROW()-1&lt;=$L$2+$M$2+$N$2,IFERROR(INDEX(CLOZE_LIST!$A:$K,ROW()-1-$L$2-$M$2+1,10),""),IF(ROW()-1&lt;=$L$2+$M$2+$N$2+$O$2,IFERROR(INDEX(PROFORMA!$A:$K,ROW()-1-$L$2-$M$2-$N$2+1,10),""),"")))))</f>
        <v>written</v>
      </c>
      <c r="K331" s="3">
        <f>IF(ROW()-1&lt;=0,"",IF(ROW()-1&lt;=$L$2,IFERROR(INDEX(MCQ!$A:$K,ROW()-1+1,11),""),IF(ROW()-1&lt;=$L$2+$M$2,IFERROR(INDEX(CLOZE_AB!$A:$K,ROW()-1-$L$2+1,11),""),IF(ROW()-1&lt;=$L$2+$M$2+$N$2,IFERROR(INDEX(CLOZE_LIST!$A:$K,ROW()-1-$L$2-$M$2+1,11),""),IF(ROW()-1&lt;=$L$2+$M$2+$N$2+$O$2,IFERROR(INDEX(PROFORMA!$A:$K,ROW()-1-$L$2-$M$2-$N$2+1,11),""),"")))))</f>
        <v>4</v>
      </c>
      <c r="L331" s="3">
        <f>COUNTA(MCQ!$A:$A)-1</f>
        <v>122</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LIST_CGT_FILE_BADR_001</v>
      </c>
      <c r="B332" s="3" t="str">
        <f>IF(ROW()-1&lt;=0,"",IF(ROW()-1&lt;=$L$2,IFERROR(INDEX(MCQ!$A:$K,ROW()-1+1,2),""),IF(ROW()-1&lt;=$L$2+$M$2,IFERROR(INDEX(CLOZE_AB!$A:$K,ROW()-1-$L$2+1,2),""),IF(ROW()-1&lt;=$L$2+$M$2+$N$2,IFERROR(INDEX(CLOZE_LIST!$A:$K,ROW()-1-$L$2-$M$2+1,2),""),IF(ROW()-1&lt;=$L$2+$M$2+$N$2+$O$2,IFERROR(INDEX(PROFORMA!$A:$K,ROW()-1-$L$2-$M$2-$N$2+1,2),""),"")))))</f>
        <v>Capital gains</v>
      </c>
      <c r="C332" s="3" t="str">
        <f>IF(ROW()-1&lt;=0,"",IF(ROW()-1&lt;=$L$2,IFERROR(INDEX(MCQ!$A:$K,ROW()-1+1,3),""),IF(ROW()-1&lt;=$L$2+$M$2,IFERROR(INDEX(CLOZE_AB!$A:$K,ROW()-1-$L$2+1,3),""),IF(ROW()-1&lt;=$L$2+$M$2+$N$2,IFERROR(INDEX(CLOZE_LIST!$A:$K,ROW()-1-$L$2-$M$2+1,3),""),IF(ROW()-1&lt;=$L$2+$M$2+$N$2+$O$2,IFERROR(INDEX(PROFORMA!$A:$K,ROW()-1-$L$2-$M$2-$N$2+1,3),""),"")))))</f>
        <v>filing_requirements</v>
      </c>
      <c r="D332" s="3" t="str">
        <f>IF(ROW()-1&lt;=0,"",IF(ROW()-1&lt;=$L$2,IFERROR(INDEX(MCQ!$A:$K,ROW()-1+1,4),""),IF(ROW()-1&lt;=$L$2+$M$2,IFERROR(INDEX(CLOZE_AB!$A:$K,ROW()-1-$L$2+1,4),""),IF(ROW()-1&lt;=$L$2+$M$2+$N$2,IFERROR(INDEX(CLOZE_LIST!$A:$K,ROW()-1-$L$2-$M$2+1,4),""),IF(ROW()-1&lt;=$L$2+$M$2+$N$2+$O$2,IFERROR(INDEX(PROFORMA!$A:$K,ROW()-1-$L$2-$M$2-$N$2+1,4),""),"")))))</f>
        <v>BADR claim</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7</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BADR_claim</v>
      </c>
      <c r="J332" s="3" t="str">
        <f>IF(ROW()-1&lt;=0,"",IF(ROW()-1&lt;=$L$2,IFERROR(INDEX(MCQ!$A:$K,ROW()-1+1,10),""),IF(ROW()-1&lt;=$L$2+$M$2,IFERROR(INDEX(CLOZE_AB!$A:$K,ROW()-1-$L$2+1,10),""),IF(ROW()-1&lt;=$L$2+$M$2+$N$2,IFERROR(INDEX(CLOZE_LIST!$A:$K,ROW()-1-$L$2-$M$2+1,10),""),IF(ROW()-1&lt;=$L$2+$M$2+$N$2+$O$2,IFERROR(INDEX(PROFORMA!$A:$K,ROW()-1-$L$2-$M$2-$N$2+1,10),""),"")))))</f>
        <v>written</v>
      </c>
      <c r="K332" s="3">
        <f>IF(ROW()-1&lt;=0,"",IF(ROW()-1&lt;=$L$2,IFERROR(INDEX(MCQ!$A:$K,ROW()-1+1,11),""),IF(ROW()-1&lt;=$L$2+$M$2,IFERROR(INDEX(CLOZE_AB!$A:$K,ROW()-1-$L$2+1,11),""),IF(ROW()-1&lt;=$L$2+$M$2+$N$2,IFERROR(INDEX(CLOZE_LIST!$A:$K,ROW()-1-$L$2-$M$2+1,11),""),IF(ROW()-1&lt;=$L$2+$M$2+$N$2+$O$2,IFERROR(INDEX(PROFORMA!$A:$K,ROW()-1-$L$2-$M$2-$N$2+1,11),""),"")))))</f>
        <v>5</v>
      </c>
      <c r="L332" s="3">
        <f>COUNTA(MCQ!$A:$A)-1</f>
        <v>122</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LIST_CGT_REQ_INCORP_001</v>
      </c>
      <c r="B333" s="3" t="str">
        <f>IF(ROW()-1&lt;=0,"",IF(ROW()-1&lt;=$L$2,IFERROR(INDEX(MCQ!$A:$K,ROW()-1+1,2),""),IF(ROW()-1&lt;=$L$2+$M$2,IFERROR(INDEX(CLOZE_AB!$A:$K,ROW()-1-$L$2+1,2),""),IF(ROW()-1&lt;=$L$2+$M$2+$N$2,IFERROR(INDEX(CLOZE_LIST!$A:$K,ROW()-1-$L$2-$M$2+1,2),""),IF(ROW()-1&lt;=$L$2+$M$2+$N$2+$O$2,IFERROR(INDEX(PROFORMA!$A:$K,ROW()-1-$L$2-$M$2-$N$2+1,2),""),"")))))</f>
        <v>Capital gains</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Incorporation relief</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incorporation;conditions</v>
      </c>
      <c r="J333" s="3" t="str">
        <f>IF(ROW()-1&lt;=0,"",IF(ROW()-1&lt;=$L$2,IFERROR(INDEX(MCQ!$A:$K,ROW()-1+1,10),""),IF(ROW()-1&lt;=$L$2+$M$2,IFERROR(INDEX(CLOZE_AB!$A:$K,ROW()-1-$L$2+1,10),""),IF(ROW()-1&lt;=$L$2+$M$2+$N$2,IFERROR(INDEX(CLOZE_LIST!$A:$K,ROW()-1-$L$2-$M$2+1,10),""),IF(ROW()-1&lt;=$L$2+$M$2+$N$2+$O$2,IFERROR(INDEX(PROFORMA!$A:$K,ROW()-1-$L$2-$M$2-$N$2+1,10),""),"")))))</f>
        <v>assistant_generated</v>
      </c>
      <c r="K333" s="3">
        <f>IF(ROW()-1&lt;=0,"",IF(ROW()-1&lt;=$L$2,IFERROR(INDEX(MCQ!$A:$K,ROW()-1+1,11),""),IF(ROW()-1&lt;=$L$2+$M$2,IFERROR(INDEX(CLOZE_AB!$A:$K,ROW()-1-$L$2+1,11),""),IF(ROW()-1&lt;=$L$2+$M$2+$N$2,IFERROR(INDEX(CLOZE_LIST!$A:$K,ROW()-1-$L$2-$M$2+1,11),""),IF(ROW()-1&lt;=$L$2+$M$2+$N$2+$O$2,IFERROR(INDEX(PROFORMA!$A:$K,ROW()-1-$L$2-$M$2-$N$2+1,11),""),"")))))</f>
        <v>1</v>
      </c>
      <c r="L333" s="3">
        <f>COUNTA(MCQ!$A:$A)-1</f>
        <v>122</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LIST_CGT_REQ_INCORP_002</v>
      </c>
      <c r="B334" s="3" t="str">
        <f>IF(ROW()-1&lt;=0,"",IF(ROW()-1&lt;=$L$2,IFERROR(INDEX(MCQ!$A:$K,ROW()-1+1,2),""),IF(ROW()-1&lt;=$L$2+$M$2,IFERROR(INDEX(CLOZE_AB!$A:$K,ROW()-1-$L$2+1,2),""),IF(ROW()-1&lt;=$L$2+$M$2+$N$2,IFERROR(INDEX(CLOZE_LIST!$A:$K,ROW()-1-$L$2-$M$2+1,2),""),IF(ROW()-1&lt;=$L$2+$M$2+$N$2+$O$2,IFERROR(INDEX(PROFORMA!$A:$K,ROW()-1-$L$2-$M$2-$N$2+1,2),""),"")))))</f>
        <v>Capital gains</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Incorporation relief</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incorporation;conditions</v>
      </c>
      <c r="J334" s="3" t="str">
        <f>IF(ROW()-1&lt;=0,"",IF(ROW()-1&lt;=$L$2,IFERROR(INDEX(MCQ!$A:$K,ROW()-1+1,10),""),IF(ROW()-1&lt;=$L$2+$M$2,IFERROR(INDEX(CLOZE_AB!$A:$K,ROW()-1-$L$2+1,10),""),IF(ROW()-1&lt;=$L$2+$M$2+$N$2,IFERROR(INDEX(CLOZE_LIST!$A:$K,ROW()-1-$L$2-$M$2+1,10),""),IF(ROW()-1&lt;=$L$2+$M$2+$N$2+$O$2,IFERROR(INDEX(PROFORMA!$A:$K,ROW()-1-$L$2-$M$2-$N$2+1,10),""),"")))))</f>
        <v>assistant_generated</v>
      </c>
      <c r="K334" s="3">
        <f>IF(ROW()-1&lt;=0,"",IF(ROW()-1&lt;=$L$2,IFERROR(INDEX(MCQ!$A:$K,ROW()-1+1,11),""),IF(ROW()-1&lt;=$L$2+$M$2,IFERROR(INDEX(CLOZE_AB!$A:$K,ROW()-1-$L$2+1,11),""),IF(ROW()-1&lt;=$L$2+$M$2+$N$2,IFERROR(INDEX(CLOZE_LIST!$A:$K,ROW()-1-$L$2-$M$2+1,11),""),IF(ROW()-1&lt;=$L$2+$M$2+$N$2+$O$2,IFERROR(INDEX(PROFORMA!$A:$K,ROW()-1-$L$2-$M$2-$N$2+1,11),""),"")))))</f>
        <v>1</v>
      </c>
      <c r="L334" s="3">
        <f>COUNTA(MCQ!$A:$A)-1</f>
        <v>122</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LIST_CGT_REQ_INCORP_003</v>
      </c>
      <c r="B335" s="3" t="str">
        <f>IF(ROW()-1&lt;=0,"",IF(ROW()-1&lt;=$L$2,IFERROR(INDEX(MCQ!$A:$K,ROW()-1+1,2),""),IF(ROW()-1&lt;=$L$2+$M$2,IFERROR(INDEX(CLOZE_AB!$A:$K,ROW()-1-$L$2+1,2),""),IF(ROW()-1&lt;=$L$2+$M$2+$N$2,IFERROR(INDEX(CLOZE_LIST!$A:$K,ROW()-1-$L$2-$M$2+1,2),""),IF(ROW()-1&lt;=$L$2+$M$2+$N$2+$O$2,IFERROR(INDEX(PROFORMA!$A:$K,ROW()-1-$L$2-$M$2-$N$2+1,2),""),"")))))</f>
        <v>Capital gains</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Incorporation relief</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incorporation;BADR</v>
      </c>
      <c r="J335" s="3" t="str">
        <f>IF(ROW()-1&lt;=0,"",IF(ROW()-1&lt;=$L$2,IFERROR(INDEX(MCQ!$A:$K,ROW()-1+1,10),""),IF(ROW()-1&lt;=$L$2+$M$2,IFERROR(INDEX(CLOZE_AB!$A:$K,ROW()-1-$L$2+1,10),""),IF(ROW()-1&lt;=$L$2+$M$2+$N$2,IFERROR(INDEX(CLOZE_LIST!$A:$K,ROW()-1-$L$2-$M$2+1,10),""),IF(ROW()-1&lt;=$L$2+$M$2+$N$2+$O$2,IFERROR(INDEX(PROFORMA!$A:$K,ROW()-1-$L$2-$M$2-$N$2+1,10),""),"")))))</f>
        <v>assistant_generated</v>
      </c>
      <c r="K335" s="3">
        <f>IF(ROW()-1&lt;=0,"",IF(ROW()-1&lt;=$L$2,IFERROR(INDEX(MCQ!$A:$K,ROW()-1+1,11),""),IF(ROW()-1&lt;=$L$2+$M$2,IFERROR(INDEX(CLOZE_AB!$A:$K,ROW()-1-$L$2+1,11),""),IF(ROW()-1&lt;=$L$2+$M$2+$N$2,IFERROR(INDEX(CLOZE_LIST!$A:$K,ROW()-1-$L$2-$M$2+1,11),""),IF(ROW()-1&lt;=$L$2+$M$2+$N$2+$O$2,IFERROR(INDEX(PROFORMA!$A:$K,ROW()-1-$L$2-$M$2-$N$2+1,11),""),"")))))</f>
        <v>1</v>
      </c>
      <c r="L335" s="3">
        <f>COUNTA(MCQ!$A:$A)-1</f>
        <v>122</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LIST_CGT_REQ_INCORP_004</v>
      </c>
      <c r="B336" s="3" t="str">
        <f>IF(ROW()-1&lt;=0,"",IF(ROW()-1&lt;=$L$2,IFERROR(INDEX(MCQ!$A:$K,ROW()-1+1,2),""),IF(ROW()-1&lt;=$L$2+$M$2,IFERROR(INDEX(CLOZE_AB!$A:$K,ROW()-1-$L$2+1,2),""),IF(ROW()-1&lt;=$L$2+$M$2+$N$2,IFERROR(INDEX(CLOZE_LIST!$A:$K,ROW()-1-$L$2-$M$2+1,2),""),IF(ROW()-1&lt;=$L$2+$M$2+$N$2+$O$2,IFERROR(INDEX(PROFORMA!$A:$K,ROW()-1-$L$2-$M$2-$N$2+1,2),""),"")))))</f>
        <v>Capital gains</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Incorporation relief</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incorporation;operation</v>
      </c>
      <c r="J336" s="3" t="str">
        <f>IF(ROW()-1&lt;=0,"",IF(ROW()-1&lt;=$L$2,IFERROR(INDEX(MCQ!$A:$K,ROW()-1+1,10),""),IF(ROW()-1&lt;=$L$2+$M$2,IFERROR(INDEX(CLOZE_AB!$A:$K,ROW()-1-$L$2+1,10),""),IF(ROW()-1&lt;=$L$2+$M$2+$N$2,IFERROR(INDEX(CLOZE_LIST!$A:$K,ROW()-1-$L$2-$M$2+1,10),""),IF(ROW()-1&lt;=$L$2+$M$2+$N$2+$O$2,IFERROR(INDEX(PROFORMA!$A:$K,ROW()-1-$L$2-$M$2-$N$2+1,10),""),"")))))</f>
        <v>assistant_generated</v>
      </c>
      <c r="K336" s="3">
        <f>IF(ROW()-1&lt;=0,"",IF(ROW()-1&lt;=$L$2,IFERROR(INDEX(MCQ!$A:$K,ROW()-1+1,11),""),IF(ROW()-1&lt;=$L$2+$M$2,IFERROR(INDEX(CLOZE_AB!$A:$K,ROW()-1-$L$2+1,11),""),IF(ROW()-1&lt;=$L$2+$M$2+$N$2,IFERROR(INDEX(CLOZE_LIST!$A:$K,ROW()-1-$L$2-$M$2+1,11),""),IF(ROW()-1&lt;=$L$2+$M$2+$N$2+$O$2,IFERROR(INDEX(PROFORMA!$A:$K,ROW()-1-$L$2-$M$2-$N$2+1,11),""),"")))))</f>
        <v>1</v>
      </c>
      <c r="L336" s="3">
        <f>COUNTA(MCQ!$A:$A)-1</f>
        <v>122</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LIST_CGT_REQ_INCORP_005</v>
      </c>
      <c r="B337" s="3" t="str">
        <f>IF(ROW()-1&lt;=0,"",IF(ROW()-1&lt;=$L$2,IFERROR(INDEX(MCQ!$A:$K,ROW()-1+1,2),""),IF(ROW()-1&lt;=$L$2+$M$2,IFERROR(INDEX(CLOZE_AB!$A:$K,ROW()-1-$L$2+1,2),""),IF(ROW()-1&lt;=$L$2+$M$2+$N$2,IFERROR(INDEX(CLOZE_LIST!$A:$K,ROW()-1-$L$2-$M$2+1,2),""),IF(ROW()-1&lt;=$L$2+$M$2+$N$2+$O$2,IFERROR(INDEX(PROFORMA!$A:$K,ROW()-1-$L$2-$M$2-$N$2+1,2),""),"")))))</f>
        <v>Capital gains</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Incorporation relief</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incorporation;operation</v>
      </c>
      <c r="J337" s="3" t="str">
        <f>IF(ROW()-1&lt;=0,"",IF(ROW()-1&lt;=$L$2,IFERROR(INDEX(MCQ!$A:$K,ROW()-1+1,10),""),IF(ROW()-1&lt;=$L$2+$M$2,IFERROR(INDEX(CLOZE_AB!$A:$K,ROW()-1-$L$2+1,10),""),IF(ROW()-1&lt;=$L$2+$M$2+$N$2,IFERROR(INDEX(CLOZE_LIST!$A:$K,ROW()-1-$L$2-$M$2+1,10),""),IF(ROW()-1&lt;=$L$2+$M$2+$N$2+$O$2,IFERROR(INDEX(PROFORMA!$A:$K,ROW()-1-$L$2-$M$2-$N$2+1,10),""),"")))))</f>
        <v>assistant_generated</v>
      </c>
      <c r="K337" s="3">
        <f>IF(ROW()-1&lt;=0,"",IF(ROW()-1&lt;=$L$2,IFERROR(INDEX(MCQ!$A:$K,ROW()-1+1,11),""),IF(ROW()-1&lt;=$L$2+$M$2,IFERROR(INDEX(CLOZE_AB!$A:$K,ROW()-1-$L$2+1,11),""),IF(ROW()-1&lt;=$L$2+$M$2+$N$2,IFERROR(INDEX(CLOZE_LIST!$A:$K,ROW()-1-$L$2-$M$2+1,11),""),IF(ROW()-1&lt;=$L$2+$M$2+$N$2+$O$2,IFERROR(INDEX(PROFORMA!$A:$K,ROW()-1-$L$2-$M$2-$N$2+1,11),""),"")))))</f>
        <v>1</v>
      </c>
      <c r="L337" s="3">
        <f>COUNTA(MCQ!$A:$A)-1</f>
        <v>122</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LIST_CGT_REQ_EISRR_001</v>
      </c>
      <c r="B338" s="3" t="str">
        <f>IF(ROW()-1&lt;=0,"",IF(ROW()-1&lt;=$L$2,IFERROR(INDEX(MCQ!$A:$K,ROW()-1+1,2),""),IF(ROW()-1&lt;=$L$2+$M$2,IFERROR(INDEX(CLOZE_AB!$A:$K,ROW()-1-$L$2+1,2),""),IF(ROW()-1&lt;=$L$2+$M$2+$N$2,IFERROR(INDEX(CLOZE_LIST!$A:$K,ROW()-1-$L$2-$M$2+1,2),""),IF(ROW()-1&lt;=$L$2+$M$2+$N$2+$O$2,IFERROR(INDEX(PROFORMA!$A:$K,ROW()-1-$L$2-$M$2-$N$2+1,2),""),"")))))</f>
        <v>Capital gains</v>
      </c>
      <c r="C338" s="3" t="str">
        <f>IF(ROW()-1&lt;=0,"",IF(ROW()-1&lt;=$L$2,IFERROR(INDEX(MCQ!$A:$K,ROW()-1+1,3),""),IF(ROW()-1&lt;=$L$2+$M$2,IFERROR(INDEX(CLOZE_AB!$A:$K,ROW()-1-$L$2+1,3),""),IF(ROW()-1&lt;=$L$2+$M$2+$N$2,IFERROR(INDEX(CLOZE_LIST!$A:$K,ROW()-1-$L$2-$M$2+1,3),""),IF(ROW()-1&lt;=$L$2+$M$2+$N$2+$O$2,IFERROR(INDEX(PROFORMA!$A:$K,ROW()-1-$L$2-$M$2-$N$2+1,3),""),"")))))</f>
        <v>requirements</v>
      </c>
      <c r="D338" s="3" t="str">
        <f>IF(ROW()-1&lt;=0,"",IF(ROW()-1&lt;=$L$2,IFERROR(INDEX(MCQ!$A:$K,ROW()-1+1,4),""),IF(ROW()-1&lt;=$L$2+$M$2,IFERROR(INDEX(CLOZE_AB!$A:$K,ROW()-1-$L$2+1,4),""),IF(ROW()-1&lt;=$L$2+$M$2+$N$2,IFERROR(INDEX(CLOZE_LIST!$A:$K,ROW()-1-$L$2-$M$2+1,4),""),IF(ROW()-1&lt;=$L$2+$M$2+$N$2+$O$2,IFERROR(INDEX(PROFORMA!$A:$K,ROW()-1-$L$2-$M$2-$N$2+1,4),""),"")))))</f>
        <v>EIS/SEIS reinvestment relief</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3</v>
      </c>
      <c r="G338" s="3" t="str">
        <f>IF(ROW()-1&lt;=0,"",IF(ROW()-1&lt;=$L$2,IFERROR(INDEX(MCQ!$A:$K,ROW()-1+1,7),""),IF(ROW()-1&lt;=$L$2+$M$2,IFERROR(INDEX(CLOZE_AB!$A:$K,ROW()-1-$L$2+1,7),""),IF(ROW()-1&lt;=$L$2+$M$2+$N$2,IFERROR(INDEX(CLOZE_LIST!$A:$K,ROW()-1-$L$2-$M$2+1,7),""),IF(ROW()-1&lt;=$L$2+$M$2+$N$2+$O$2,IFERROR(INDEX(PROFORMA!$A:$K,ROW()-1-$L$2-$M$2-$N$2+1,7),""),"")))))</f>
        <v>core</v>
      </c>
      <c r="H338" s="3" t="str">
        <f>IF(ROW()-1&lt;=0,"",IF(ROW()-1&lt;=$L$2,IFERROR(INDEX(MCQ!$A:$K,ROW()-1+1,8),""),IF(ROW()-1&lt;=$L$2+$M$2,IFERROR(INDEX(CLOZE_AB!$A:$K,ROW()-1-$L$2+1,8),""),IF(ROW()-1&lt;=$L$2+$M$2+$N$2,IFERROR(INDEX(CLOZE_LIST!$A:$K,ROW()-1-$L$2-$M$2+1,8),""),IF(ROW()-1&lt;=$L$2+$M$2+$N$2+$O$2,IFERROR(INDEX(PROFORMA!$A:$K,ROW()-1-$L$2-$M$2-$N$2+1,8),""),"")))))</f>
        <v>Y</v>
      </c>
      <c r="I338" s="3" t="str">
        <f>IF(ROW()-1&lt;=0,"",IF(ROW()-1&lt;=$L$2,IFERROR(INDEX(MCQ!$A:$K,ROW()-1+1,9),""),IF(ROW()-1&lt;=$L$2+$M$2,IFERROR(INDEX(CLOZE_AB!$A:$K,ROW()-1-$L$2+1,9),""),IF(ROW()-1&lt;=$L$2+$M$2+$N$2,IFERROR(INDEX(CLOZE_LIST!$A:$K,ROW()-1-$L$2-$M$2+1,9),""),IF(ROW()-1&lt;=$L$2+$M$2+$N$2+$O$2,IFERROR(INDEX(PROFORMA!$A:$K,ROW()-1-$L$2-$M$2-$N$2+1,9),""),"")))))</f>
        <v>eis;timing</v>
      </c>
      <c r="J338" s="3" t="str">
        <f>IF(ROW()-1&lt;=0,"",IF(ROW()-1&lt;=$L$2,IFERROR(INDEX(MCQ!$A:$K,ROW()-1+1,10),""),IF(ROW()-1&lt;=$L$2+$M$2,IFERROR(INDEX(CLOZE_AB!$A:$K,ROW()-1-$L$2+1,10),""),IF(ROW()-1&lt;=$L$2+$M$2+$N$2,IFERROR(INDEX(CLOZE_LIST!$A:$K,ROW()-1-$L$2-$M$2+1,10),""),IF(ROW()-1&lt;=$L$2+$M$2+$N$2+$O$2,IFERROR(INDEX(PROFORMA!$A:$K,ROW()-1-$L$2-$M$2-$N$2+1,10),""),"")))))</f>
        <v>assistant_generated</v>
      </c>
      <c r="K338" s="3">
        <f>IF(ROW()-1&lt;=0,"",IF(ROW()-1&lt;=$L$2,IFERROR(INDEX(MCQ!$A:$K,ROW()-1+1,11),""),IF(ROW()-1&lt;=$L$2+$M$2,IFERROR(INDEX(CLOZE_AB!$A:$K,ROW()-1-$L$2+1,11),""),IF(ROW()-1&lt;=$L$2+$M$2+$N$2,IFERROR(INDEX(CLOZE_LIST!$A:$K,ROW()-1-$L$2-$M$2+1,11),""),IF(ROW()-1&lt;=$L$2+$M$2+$N$2+$O$2,IFERROR(INDEX(PROFORMA!$A:$K,ROW()-1-$L$2-$M$2-$N$2+1,11),""),"")))))</f>
        <v>1</v>
      </c>
      <c r="L338" s="3">
        <f>COUNTA(MCQ!$A:$A)-1</f>
        <v>122</v>
      </c>
      <c r="M338" s="3">
        <f>COUNTA(CLOZE_AB!$A:$A)-1</f>
        <v>168</v>
      </c>
      <c r="N338" s="3">
        <f>COUNTA(CLOZE_LIST!$A:$A)-1</f>
        <v>199</v>
      </c>
      <c r="O338" s="3">
        <f>COUNTA(PROFORMA!$A:$A)-1</f>
        <v>199</v>
      </c>
    </row>
    <row r="339" spans="1:15" ht="28.8" x14ac:dyDescent="0.3">
      <c r="A339" s="3" t="str">
        <f>IF(ROW()-1&lt;=0,"",IF(ROW()-1&lt;=$L$2,IFERROR(INDEX(MCQ!$A:$K,ROW()-1+1,1),""),IF(ROW()-1&lt;=$L$2+$M$2,IFERROR(INDEX(CLOZE_AB!$A:$K,ROW()-1-$L$2+1,1),""),IF(ROW()-1&lt;=$L$2+$M$2+$N$2,IFERROR(INDEX(CLOZE_LIST!$A:$K,ROW()-1-$L$2-$M$2+1,1),""),IF(ROW()-1&lt;=$L$2+$M$2+$N$2+$O$2,IFERROR(INDEX(PROFORMA!$A:$K,ROW()-1-$L$2-$M$2-$N$2+1,1),""),"")))))</f>
        <v>LIST_CGT_REQ_EISRR_002</v>
      </c>
      <c r="B339" s="3" t="str">
        <f>IF(ROW()-1&lt;=0,"",IF(ROW()-1&lt;=$L$2,IFERROR(INDEX(MCQ!$A:$K,ROW()-1+1,2),""),IF(ROW()-1&lt;=$L$2+$M$2,IFERROR(INDEX(CLOZE_AB!$A:$K,ROW()-1-$L$2+1,2),""),IF(ROW()-1&lt;=$L$2+$M$2+$N$2,IFERROR(INDEX(CLOZE_LIST!$A:$K,ROW()-1-$L$2-$M$2+1,2),""),IF(ROW()-1&lt;=$L$2+$M$2+$N$2+$O$2,IFERROR(INDEX(PROFORMA!$A:$K,ROW()-1-$L$2-$M$2-$N$2+1,2),""),"")))))</f>
        <v>Capital gains</v>
      </c>
      <c r="C339" s="3" t="str">
        <f>IF(ROW()-1&lt;=0,"",IF(ROW()-1&lt;=$L$2,IFERROR(INDEX(MCQ!$A:$K,ROW()-1+1,3),""),IF(ROW()-1&lt;=$L$2+$M$2,IFERROR(INDEX(CLOZE_AB!$A:$K,ROW()-1-$L$2+1,3),""),IF(ROW()-1&lt;=$L$2+$M$2+$N$2,IFERROR(INDEX(CLOZE_LIST!$A:$K,ROW()-1-$L$2-$M$2+1,3),""),IF(ROW()-1&lt;=$L$2+$M$2+$N$2+$O$2,IFERROR(INDEX(PROFORMA!$A:$K,ROW()-1-$L$2-$M$2-$N$2+1,3),""),"")))))</f>
        <v>requirements</v>
      </c>
      <c r="D339" s="3" t="str">
        <f>IF(ROW()-1&lt;=0,"",IF(ROW()-1&lt;=$L$2,IFERROR(INDEX(MCQ!$A:$K,ROW()-1+1,4),""),IF(ROW()-1&lt;=$L$2+$M$2,IFERROR(INDEX(CLOZE_AB!$A:$K,ROW()-1-$L$2+1,4),""),IF(ROW()-1&lt;=$L$2+$M$2+$N$2,IFERROR(INDEX(CLOZE_LIST!$A:$K,ROW()-1-$L$2-$M$2+1,4),""),IF(ROW()-1&lt;=$L$2+$M$2+$N$2+$O$2,IFERROR(INDEX(PROFORMA!$A:$K,ROW()-1-$L$2-$M$2-$N$2+1,4),""),"")))))</f>
        <v>EIS/SEIS reinvestment relief</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3</v>
      </c>
      <c r="G339" s="3" t="str">
        <f>IF(ROW()-1&lt;=0,"",IF(ROW()-1&lt;=$L$2,IFERROR(INDEX(MCQ!$A:$K,ROW()-1+1,7),""),IF(ROW()-1&lt;=$L$2+$M$2,IFERROR(INDEX(CLOZE_AB!$A:$K,ROW()-1-$L$2+1,7),""),IF(ROW()-1&lt;=$L$2+$M$2+$N$2,IFERROR(INDEX(CLOZE_LIST!$A:$K,ROW()-1-$L$2-$M$2+1,7),""),IF(ROW()-1&lt;=$L$2+$M$2+$N$2+$O$2,IFERROR(INDEX(PROFORMA!$A:$K,ROW()-1-$L$2-$M$2-$N$2+1,7),""),"")))))</f>
        <v>core</v>
      </c>
      <c r="H339" s="3" t="str">
        <f>IF(ROW()-1&lt;=0,"",IF(ROW()-1&lt;=$L$2,IFERROR(INDEX(MCQ!$A:$K,ROW()-1+1,8),""),IF(ROW()-1&lt;=$L$2+$M$2,IFERROR(INDEX(CLOZE_AB!$A:$K,ROW()-1-$L$2+1,8),""),IF(ROW()-1&lt;=$L$2+$M$2+$N$2,IFERROR(INDEX(CLOZE_LIST!$A:$K,ROW()-1-$L$2-$M$2+1,8),""),IF(ROW()-1&lt;=$L$2+$M$2+$N$2+$O$2,IFERROR(INDEX(PROFORMA!$A:$K,ROW()-1-$L$2-$M$2-$N$2+1,8),""),"")))))</f>
        <v>Y</v>
      </c>
      <c r="I339" s="3" t="str">
        <f>IF(ROW()-1&lt;=0,"",IF(ROW()-1&lt;=$L$2,IFERROR(INDEX(MCQ!$A:$K,ROW()-1+1,9),""),IF(ROW()-1&lt;=$L$2+$M$2,IFERROR(INDEX(CLOZE_AB!$A:$K,ROW()-1-$L$2+1,9),""),IF(ROW()-1&lt;=$L$2+$M$2+$N$2,IFERROR(INDEX(CLOZE_LIST!$A:$K,ROW()-1-$L$2-$M$2+1,9),""),IF(ROW()-1&lt;=$L$2+$M$2+$N$2+$O$2,IFERROR(INDEX(PROFORMA!$A:$K,ROW()-1-$L$2-$M$2-$N$2+1,9),""),"")))))</f>
        <v>eis;claim</v>
      </c>
      <c r="J339" s="3" t="str">
        <f>IF(ROW()-1&lt;=0,"",IF(ROW()-1&lt;=$L$2,IFERROR(INDEX(MCQ!$A:$K,ROW()-1+1,10),""),IF(ROW()-1&lt;=$L$2+$M$2,IFERROR(INDEX(CLOZE_AB!$A:$K,ROW()-1-$L$2+1,10),""),IF(ROW()-1&lt;=$L$2+$M$2+$N$2,IFERROR(INDEX(CLOZE_LIST!$A:$K,ROW()-1-$L$2-$M$2+1,10),""),IF(ROW()-1&lt;=$L$2+$M$2+$N$2+$O$2,IFERROR(INDEX(PROFORMA!$A:$K,ROW()-1-$L$2-$M$2-$N$2+1,10),""),"")))))</f>
        <v>assistant_generated</v>
      </c>
      <c r="K339" s="3">
        <f>IF(ROW()-1&lt;=0,"",IF(ROW()-1&lt;=$L$2,IFERROR(INDEX(MCQ!$A:$K,ROW()-1+1,11),""),IF(ROW()-1&lt;=$L$2+$M$2,IFERROR(INDEX(CLOZE_AB!$A:$K,ROW()-1-$L$2+1,11),""),IF(ROW()-1&lt;=$L$2+$M$2+$N$2,IFERROR(INDEX(CLOZE_LIST!$A:$K,ROW()-1-$L$2-$M$2+1,11),""),IF(ROW()-1&lt;=$L$2+$M$2+$N$2+$O$2,IFERROR(INDEX(PROFORMA!$A:$K,ROW()-1-$L$2-$M$2-$N$2+1,11),""),"")))))</f>
        <v>1</v>
      </c>
      <c r="L339" s="3">
        <f>COUNTA(MCQ!$A:$A)-1</f>
        <v>122</v>
      </c>
      <c r="M339" s="3">
        <f>COUNTA(CLOZE_AB!$A:$A)-1</f>
        <v>168</v>
      </c>
      <c r="N339" s="3">
        <f>COUNTA(CLOZE_LIST!$A:$A)-1</f>
        <v>199</v>
      </c>
      <c r="O339" s="3">
        <f>COUNTA(PROFORMA!$A:$A)-1</f>
        <v>199</v>
      </c>
    </row>
    <row r="340" spans="1:15" ht="28.8" x14ac:dyDescent="0.3">
      <c r="A340" s="3" t="str">
        <f>IF(ROW()-1&lt;=0,"",IF(ROW()-1&lt;=$L$2,IFERROR(INDEX(MCQ!$A:$K,ROW()-1+1,1),""),IF(ROW()-1&lt;=$L$2+$M$2,IFERROR(INDEX(CLOZE_AB!$A:$K,ROW()-1-$L$2+1,1),""),IF(ROW()-1&lt;=$L$2+$M$2+$N$2,IFERROR(INDEX(CLOZE_LIST!$A:$K,ROW()-1-$L$2-$M$2+1,1),""),IF(ROW()-1&lt;=$L$2+$M$2+$N$2+$O$2,IFERROR(INDEX(PROFORMA!$A:$K,ROW()-1-$L$2-$M$2-$N$2+1,1),""),"")))))</f>
        <v>LIST_CGT_REQ_EISRR_003</v>
      </c>
      <c r="B340" s="3" t="str">
        <f>IF(ROW()-1&lt;=0,"",IF(ROW()-1&lt;=$L$2,IFERROR(INDEX(MCQ!$A:$K,ROW()-1+1,2),""),IF(ROW()-1&lt;=$L$2+$M$2,IFERROR(INDEX(CLOZE_AB!$A:$K,ROW()-1-$L$2+1,2),""),IF(ROW()-1&lt;=$L$2+$M$2+$N$2,IFERROR(INDEX(CLOZE_LIST!$A:$K,ROW()-1-$L$2-$M$2+1,2),""),IF(ROW()-1&lt;=$L$2+$M$2+$N$2+$O$2,IFERROR(INDEX(PROFORMA!$A:$K,ROW()-1-$L$2-$M$2-$N$2+1,2),""),"")))))</f>
        <v>Capital gains</v>
      </c>
      <c r="C340" s="3" t="str">
        <f>IF(ROW()-1&lt;=0,"",IF(ROW()-1&lt;=$L$2,IFERROR(INDEX(MCQ!$A:$K,ROW()-1+1,3),""),IF(ROW()-1&lt;=$L$2+$M$2,IFERROR(INDEX(CLOZE_AB!$A:$K,ROW()-1-$L$2+1,3),""),IF(ROW()-1&lt;=$L$2+$M$2+$N$2,IFERROR(INDEX(CLOZE_LIST!$A:$K,ROW()-1-$L$2-$M$2+1,3),""),IF(ROW()-1&lt;=$L$2+$M$2+$N$2+$O$2,IFERROR(INDEX(PROFORMA!$A:$K,ROW()-1-$L$2-$M$2-$N$2+1,3),""),"")))))</f>
        <v>requirements</v>
      </c>
      <c r="D340" s="3" t="str">
        <f>IF(ROW()-1&lt;=0,"",IF(ROW()-1&lt;=$L$2,IFERROR(INDEX(MCQ!$A:$K,ROW()-1+1,4),""),IF(ROW()-1&lt;=$L$2+$M$2,IFERROR(INDEX(CLOZE_AB!$A:$K,ROW()-1-$L$2+1,4),""),IF(ROW()-1&lt;=$L$2+$M$2+$N$2,IFERROR(INDEX(CLOZE_LIST!$A:$K,ROW()-1-$L$2-$M$2+1,4),""),IF(ROW()-1&lt;=$L$2+$M$2+$N$2+$O$2,IFERROR(INDEX(PROFORMA!$A:$K,ROW()-1-$L$2-$M$2-$N$2+1,4),""),"")))))</f>
        <v>EIS/SEIS reinvestment relief</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3</v>
      </c>
      <c r="G340" s="3" t="str">
        <f>IF(ROW()-1&lt;=0,"",IF(ROW()-1&lt;=$L$2,IFERROR(INDEX(MCQ!$A:$K,ROW()-1+1,7),""),IF(ROW()-1&lt;=$L$2+$M$2,IFERROR(INDEX(CLOZE_AB!$A:$K,ROW()-1-$L$2+1,7),""),IF(ROW()-1&lt;=$L$2+$M$2+$N$2,IFERROR(INDEX(CLOZE_LIST!$A:$K,ROW()-1-$L$2-$M$2+1,7),""),IF(ROW()-1&lt;=$L$2+$M$2+$N$2+$O$2,IFERROR(INDEX(PROFORMA!$A:$K,ROW()-1-$L$2-$M$2-$N$2+1,7),""),"")))))</f>
        <v>core</v>
      </c>
      <c r="H340" s="3" t="str">
        <f>IF(ROW()-1&lt;=0,"",IF(ROW()-1&lt;=$L$2,IFERROR(INDEX(MCQ!$A:$K,ROW()-1+1,8),""),IF(ROW()-1&lt;=$L$2+$M$2,IFERROR(INDEX(CLOZE_AB!$A:$K,ROW()-1-$L$2+1,8),""),IF(ROW()-1&lt;=$L$2+$M$2+$N$2,IFERROR(INDEX(CLOZE_LIST!$A:$K,ROW()-1-$L$2-$M$2+1,8),""),IF(ROW()-1&lt;=$L$2+$M$2+$N$2+$O$2,IFERROR(INDEX(PROFORMA!$A:$K,ROW()-1-$L$2-$M$2-$N$2+1,8),""),"")))))</f>
        <v>Y</v>
      </c>
      <c r="I340" s="3" t="str">
        <f>IF(ROW()-1&lt;=0,"",IF(ROW()-1&lt;=$L$2,IFERROR(INDEX(MCQ!$A:$K,ROW()-1+1,9),""),IF(ROW()-1&lt;=$L$2+$M$2,IFERROR(INDEX(CLOZE_AB!$A:$K,ROW()-1-$L$2+1,9),""),IF(ROW()-1&lt;=$L$2+$M$2+$N$2,IFERROR(INDEX(CLOZE_LIST!$A:$K,ROW()-1-$L$2-$M$2+1,9),""),IF(ROW()-1&lt;=$L$2+$M$2+$N$2+$O$2,IFERROR(INDEX(PROFORMA!$A:$K,ROW()-1-$L$2-$M$2-$N$2+1,9),""),"")))))</f>
        <v>eis;chargeable_event</v>
      </c>
      <c r="J340" s="3" t="str">
        <f>IF(ROW()-1&lt;=0,"",IF(ROW()-1&lt;=$L$2,IFERROR(INDEX(MCQ!$A:$K,ROW()-1+1,10),""),IF(ROW()-1&lt;=$L$2+$M$2,IFERROR(INDEX(CLOZE_AB!$A:$K,ROW()-1-$L$2+1,10),""),IF(ROW()-1&lt;=$L$2+$M$2+$N$2,IFERROR(INDEX(CLOZE_LIST!$A:$K,ROW()-1-$L$2-$M$2+1,10),""),IF(ROW()-1&lt;=$L$2+$M$2+$N$2+$O$2,IFERROR(INDEX(PROFORMA!$A:$K,ROW()-1-$L$2-$M$2-$N$2+1,10),""),"")))))</f>
        <v>assistant_generated</v>
      </c>
      <c r="K340" s="3">
        <f>IF(ROW()-1&lt;=0,"",IF(ROW()-1&lt;=$L$2,IFERROR(INDEX(MCQ!$A:$K,ROW()-1+1,11),""),IF(ROW()-1&lt;=$L$2+$M$2,IFERROR(INDEX(CLOZE_AB!$A:$K,ROW()-1-$L$2+1,11),""),IF(ROW()-1&lt;=$L$2+$M$2+$N$2,IFERROR(INDEX(CLOZE_LIST!$A:$K,ROW()-1-$L$2-$M$2+1,11),""),IF(ROW()-1&lt;=$L$2+$M$2+$N$2+$O$2,IFERROR(INDEX(PROFORMA!$A:$K,ROW()-1-$L$2-$M$2-$N$2+1,11),""),"")))))</f>
        <v>1</v>
      </c>
      <c r="L340" s="3">
        <f>COUNTA(MCQ!$A:$A)-1</f>
        <v>122</v>
      </c>
      <c r="M340" s="3">
        <f>COUNTA(CLOZE_AB!$A:$A)-1</f>
        <v>168</v>
      </c>
      <c r="N340" s="3">
        <f>COUNTA(CLOZE_LIST!$A:$A)-1</f>
        <v>199</v>
      </c>
      <c r="O340" s="3">
        <f>COUNTA(PROFORMA!$A:$A)-1</f>
        <v>199</v>
      </c>
    </row>
    <row r="341" spans="1:15" ht="28.8" x14ac:dyDescent="0.3">
      <c r="A341" s="3" t="str">
        <f>IF(ROW()-1&lt;=0,"",IF(ROW()-1&lt;=$L$2,IFERROR(INDEX(MCQ!$A:$K,ROW()-1+1,1),""),IF(ROW()-1&lt;=$L$2+$M$2,IFERROR(INDEX(CLOZE_AB!$A:$K,ROW()-1-$L$2+1,1),""),IF(ROW()-1&lt;=$L$2+$M$2+$N$2,IFERROR(INDEX(CLOZE_LIST!$A:$K,ROW()-1-$L$2-$M$2+1,1),""),IF(ROW()-1&lt;=$L$2+$M$2+$N$2+$O$2,IFERROR(INDEX(PROFORMA!$A:$K,ROW()-1-$L$2-$M$2-$N$2+1,1),""),"")))))</f>
        <v>LIST_CGT_REQ_EISRR_004</v>
      </c>
      <c r="B341" s="3" t="str">
        <f>IF(ROW()-1&lt;=0,"",IF(ROW()-1&lt;=$L$2,IFERROR(INDEX(MCQ!$A:$K,ROW()-1+1,2),""),IF(ROW()-1&lt;=$L$2+$M$2,IFERROR(INDEX(CLOZE_AB!$A:$K,ROW()-1-$L$2+1,2),""),IF(ROW()-1&lt;=$L$2+$M$2+$N$2,IFERROR(INDEX(CLOZE_LIST!$A:$K,ROW()-1-$L$2-$M$2+1,2),""),IF(ROW()-1&lt;=$L$2+$M$2+$N$2+$O$2,IFERROR(INDEX(PROFORMA!$A:$K,ROW()-1-$L$2-$M$2-$N$2+1,2),""),"")))))</f>
        <v>Capital gains</v>
      </c>
      <c r="C341" s="3" t="str">
        <f>IF(ROW()-1&lt;=0,"",IF(ROW()-1&lt;=$L$2,IFERROR(INDEX(MCQ!$A:$K,ROW()-1+1,3),""),IF(ROW()-1&lt;=$L$2+$M$2,IFERROR(INDEX(CLOZE_AB!$A:$K,ROW()-1-$L$2+1,3),""),IF(ROW()-1&lt;=$L$2+$M$2+$N$2,IFERROR(INDEX(CLOZE_LIST!$A:$K,ROW()-1-$L$2-$M$2+1,3),""),IF(ROW()-1&lt;=$L$2+$M$2+$N$2+$O$2,IFERROR(INDEX(PROFORMA!$A:$K,ROW()-1-$L$2-$M$2-$N$2+1,3),""),"")))))</f>
        <v>requirements</v>
      </c>
      <c r="D341" s="3" t="str">
        <f>IF(ROW()-1&lt;=0,"",IF(ROW()-1&lt;=$L$2,IFERROR(INDEX(MCQ!$A:$K,ROW()-1+1,4),""),IF(ROW()-1&lt;=$L$2+$M$2,IFERROR(INDEX(CLOZE_AB!$A:$K,ROW()-1-$L$2+1,4),""),IF(ROW()-1&lt;=$L$2+$M$2+$N$2,IFERROR(INDEX(CLOZE_LIST!$A:$K,ROW()-1-$L$2-$M$2+1,4),""),IF(ROW()-1&lt;=$L$2+$M$2+$N$2+$O$2,IFERROR(INDEX(PROFORMA!$A:$K,ROW()-1-$L$2-$M$2-$N$2+1,4),""),"")))))</f>
        <v>EIS/SEIS reinvestment relief</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3</v>
      </c>
      <c r="G341" s="3" t="str">
        <f>IF(ROW()-1&lt;=0,"",IF(ROW()-1&lt;=$L$2,IFERROR(INDEX(MCQ!$A:$K,ROW()-1+1,7),""),IF(ROW()-1&lt;=$L$2+$M$2,IFERROR(INDEX(CLOZE_AB!$A:$K,ROW()-1-$L$2+1,7),""),IF(ROW()-1&lt;=$L$2+$M$2+$N$2,IFERROR(INDEX(CLOZE_LIST!$A:$K,ROW()-1-$L$2-$M$2+1,7),""),IF(ROW()-1&lt;=$L$2+$M$2+$N$2+$O$2,IFERROR(INDEX(PROFORMA!$A:$K,ROW()-1-$L$2-$M$2-$N$2+1,7),""),"")))))</f>
        <v>core</v>
      </c>
      <c r="H341" s="3" t="str">
        <f>IF(ROW()-1&lt;=0,"",IF(ROW()-1&lt;=$L$2,IFERROR(INDEX(MCQ!$A:$K,ROW()-1+1,8),""),IF(ROW()-1&lt;=$L$2+$M$2,IFERROR(INDEX(CLOZE_AB!$A:$K,ROW()-1-$L$2+1,8),""),IF(ROW()-1&lt;=$L$2+$M$2+$N$2,IFERROR(INDEX(CLOZE_LIST!$A:$K,ROW()-1-$L$2-$M$2+1,8),""),IF(ROW()-1&lt;=$L$2+$M$2+$N$2+$O$2,IFERROR(INDEX(PROFORMA!$A:$K,ROW()-1-$L$2-$M$2-$N$2+1,8),""),"")))))</f>
        <v>Y</v>
      </c>
      <c r="I341" s="3" t="str">
        <f>IF(ROW()-1&lt;=0,"",IF(ROW()-1&lt;=$L$2,IFERROR(INDEX(MCQ!$A:$K,ROW()-1+1,9),""),IF(ROW()-1&lt;=$L$2+$M$2,IFERROR(INDEX(CLOZE_AB!$A:$K,ROW()-1-$L$2+1,9),""),IF(ROW()-1&lt;=$L$2+$M$2+$N$2,IFERROR(INDEX(CLOZE_LIST!$A:$K,ROW()-1-$L$2-$M$2+1,9),""),IF(ROW()-1&lt;=$L$2+$M$2+$N$2+$O$2,IFERROR(INDEX(PROFORMA!$A:$K,ROW()-1-$L$2-$M$2-$N$2+1,9),""),"")))))</f>
        <v>eis;seis;difference</v>
      </c>
      <c r="J341" s="3" t="str">
        <f>IF(ROW()-1&lt;=0,"",IF(ROW()-1&lt;=$L$2,IFERROR(INDEX(MCQ!$A:$K,ROW()-1+1,10),""),IF(ROW()-1&lt;=$L$2+$M$2,IFERROR(INDEX(CLOZE_AB!$A:$K,ROW()-1-$L$2+1,10),""),IF(ROW()-1&lt;=$L$2+$M$2+$N$2,IFERROR(INDEX(CLOZE_LIST!$A:$K,ROW()-1-$L$2-$M$2+1,10),""),IF(ROW()-1&lt;=$L$2+$M$2+$N$2+$O$2,IFERROR(INDEX(PROFORMA!$A:$K,ROW()-1-$L$2-$M$2-$N$2+1,10),""),"")))))</f>
        <v>assistant_generated</v>
      </c>
      <c r="K341" s="3">
        <f>IF(ROW()-1&lt;=0,"",IF(ROW()-1&lt;=$L$2,IFERROR(INDEX(MCQ!$A:$K,ROW()-1+1,11),""),IF(ROW()-1&lt;=$L$2+$M$2,IFERROR(INDEX(CLOZE_AB!$A:$K,ROW()-1-$L$2+1,11),""),IF(ROW()-1&lt;=$L$2+$M$2+$N$2,IFERROR(INDEX(CLOZE_LIST!$A:$K,ROW()-1-$L$2-$M$2+1,11),""),IF(ROW()-1&lt;=$L$2+$M$2+$N$2+$O$2,IFERROR(INDEX(PROFORMA!$A:$K,ROW()-1-$L$2-$M$2-$N$2+1,11),""),"")))))</f>
        <v>1</v>
      </c>
      <c r="L341" s="3">
        <f>COUNTA(MCQ!$A:$A)-1</f>
        <v>122</v>
      </c>
      <c r="M341" s="3">
        <f>COUNTA(CLOZE_AB!$A:$A)-1</f>
        <v>168</v>
      </c>
      <c r="N341" s="3">
        <f>COUNTA(CLOZE_LIST!$A:$A)-1</f>
        <v>199</v>
      </c>
      <c r="O341" s="3">
        <f>COUNTA(PROFORMA!$A:$A)-1</f>
        <v>199</v>
      </c>
    </row>
    <row r="342" spans="1:15" ht="28.8" x14ac:dyDescent="0.3">
      <c r="A342" s="3" t="str">
        <f>IF(ROW()-1&lt;=0,"",IF(ROW()-1&lt;=$L$2,IFERROR(INDEX(MCQ!$A:$K,ROW()-1+1,1),""),IF(ROW()-1&lt;=$L$2+$M$2,IFERROR(INDEX(CLOZE_AB!$A:$K,ROW()-1-$L$2+1,1),""),IF(ROW()-1&lt;=$L$2+$M$2+$N$2,IFERROR(INDEX(CLOZE_LIST!$A:$K,ROW()-1-$L$2-$M$2+1,1),""),IF(ROW()-1&lt;=$L$2+$M$2+$N$2+$O$2,IFERROR(INDEX(PROFORMA!$A:$K,ROW()-1-$L$2-$M$2-$N$2+1,1),""),"")))))</f>
        <v>LIST_CGT_REQ_EISRR_005</v>
      </c>
      <c r="B342" s="3" t="str">
        <f>IF(ROW()-1&lt;=0,"",IF(ROW()-1&lt;=$L$2,IFERROR(INDEX(MCQ!$A:$K,ROW()-1+1,2),""),IF(ROW()-1&lt;=$L$2+$M$2,IFERROR(INDEX(CLOZE_AB!$A:$K,ROW()-1-$L$2+1,2),""),IF(ROW()-1&lt;=$L$2+$M$2+$N$2,IFERROR(INDEX(CLOZE_LIST!$A:$K,ROW()-1-$L$2-$M$2+1,2),""),IF(ROW()-1&lt;=$L$2+$M$2+$N$2+$O$2,IFERROR(INDEX(PROFORMA!$A:$K,ROW()-1-$L$2-$M$2-$N$2+1,2),""),"")))))</f>
        <v>Capital gains</v>
      </c>
      <c r="C342" s="3" t="str">
        <f>IF(ROW()-1&lt;=0,"",IF(ROW()-1&lt;=$L$2,IFERROR(INDEX(MCQ!$A:$K,ROW()-1+1,3),""),IF(ROW()-1&lt;=$L$2+$M$2,IFERROR(INDEX(CLOZE_AB!$A:$K,ROW()-1-$L$2+1,3),""),IF(ROW()-1&lt;=$L$2+$M$2+$N$2,IFERROR(INDEX(CLOZE_LIST!$A:$K,ROW()-1-$L$2-$M$2+1,3),""),IF(ROW()-1&lt;=$L$2+$M$2+$N$2+$O$2,IFERROR(INDEX(PROFORMA!$A:$K,ROW()-1-$L$2-$M$2-$N$2+1,3),""),"")))))</f>
        <v>requirements</v>
      </c>
      <c r="D342" s="3" t="str">
        <f>IF(ROW()-1&lt;=0,"",IF(ROW()-1&lt;=$L$2,IFERROR(INDEX(MCQ!$A:$K,ROW()-1+1,4),""),IF(ROW()-1&lt;=$L$2+$M$2,IFERROR(INDEX(CLOZE_AB!$A:$K,ROW()-1-$L$2+1,4),""),IF(ROW()-1&lt;=$L$2+$M$2+$N$2,IFERROR(INDEX(CLOZE_LIST!$A:$K,ROW()-1-$L$2-$M$2+1,4),""),IF(ROW()-1&lt;=$L$2+$M$2+$N$2+$O$2,IFERROR(INDEX(PROFORMA!$A:$K,ROW()-1-$L$2-$M$2-$N$2+1,4),""),"")))))</f>
        <v>EIS/SEIS reinvestment relief</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3</v>
      </c>
      <c r="G342" s="3" t="str">
        <f>IF(ROW()-1&lt;=0,"",IF(ROW()-1&lt;=$L$2,IFERROR(INDEX(MCQ!$A:$K,ROW()-1+1,7),""),IF(ROW()-1&lt;=$L$2+$M$2,IFERROR(INDEX(CLOZE_AB!$A:$K,ROW()-1-$L$2+1,7),""),IF(ROW()-1&lt;=$L$2+$M$2+$N$2,IFERROR(INDEX(CLOZE_LIST!$A:$K,ROW()-1-$L$2-$M$2+1,7),""),IF(ROW()-1&lt;=$L$2+$M$2+$N$2+$O$2,IFERROR(INDEX(PROFORMA!$A:$K,ROW()-1-$L$2-$M$2-$N$2+1,7),""),"")))))</f>
        <v>core</v>
      </c>
      <c r="H342" s="3" t="str">
        <f>IF(ROW()-1&lt;=0,"",IF(ROW()-1&lt;=$L$2,IFERROR(INDEX(MCQ!$A:$K,ROW()-1+1,8),""),IF(ROW()-1&lt;=$L$2+$M$2,IFERROR(INDEX(CLOZE_AB!$A:$K,ROW()-1-$L$2+1,8),""),IF(ROW()-1&lt;=$L$2+$M$2+$N$2,IFERROR(INDEX(CLOZE_LIST!$A:$K,ROW()-1-$L$2-$M$2+1,8),""),IF(ROW()-1&lt;=$L$2+$M$2+$N$2+$O$2,IFERROR(INDEX(PROFORMA!$A:$K,ROW()-1-$L$2-$M$2-$N$2+1,8),""),"")))))</f>
        <v>Y</v>
      </c>
      <c r="I342" s="3" t="str">
        <f>IF(ROW()-1&lt;=0,"",IF(ROW()-1&lt;=$L$2,IFERROR(INDEX(MCQ!$A:$K,ROW()-1+1,9),""),IF(ROW()-1&lt;=$L$2+$M$2,IFERROR(INDEX(CLOZE_AB!$A:$K,ROW()-1-$L$2+1,9),""),IF(ROW()-1&lt;=$L$2+$M$2+$N$2,IFERROR(INDEX(CLOZE_LIST!$A:$K,ROW()-1-$L$2-$M$2+1,9),""),IF(ROW()-1&lt;=$L$2+$M$2+$N$2+$O$2,IFERROR(INDEX(PROFORMA!$A:$K,ROW()-1-$L$2-$M$2-$N$2+1,9),""),"")))))</f>
        <v>eis;withdrawal</v>
      </c>
      <c r="J342" s="3" t="str">
        <f>IF(ROW()-1&lt;=0,"",IF(ROW()-1&lt;=$L$2,IFERROR(INDEX(MCQ!$A:$K,ROW()-1+1,10),""),IF(ROW()-1&lt;=$L$2+$M$2,IFERROR(INDEX(CLOZE_AB!$A:$K,ROW()-1-$L$2+1,10),""),IF(ROW()-1&lt;=$L$2+$M$2+$N$2,IFERROR(INDEX(CLOZE_LIST!$A:$K,ROW()-1-$L$2-$M$2+1,10),""),IF(ROW()-1&lt;=$L$2+$M$2+$N$2+$O$2,IFERROR(INDEX(PROFORMA!$A:$K,ROW()-1-$L$2-$M$2-$N$2+1,10),""),"")))))</f>
        <v>assistant_generated</v>
      </c>
      <c r="K342" s="3">
        <f>IF(ROW()-1&lt;=0,"",IF(ROW()-1&lt;=$L$2,IFERROR(INDEX(MCQ!$A:$K,ROW()-1+1,11),""),IF(ROW()-1&lt;=$L$2+$M$2,IFERROR(INDEX(CLOZE_AB!$A:$K,ROW()-1-$L$2+1,11),""),IF(ROW()-1&lt;=$L$2+$M$2+$N$2,IFERROR(INDEX(CLOZE_LIST!$A:$K,ROW()-1-$L$2-$M$2+1,11),""),IF(ROW()-1&lt;=$L$2+$M$2+$N$2+$O$2,IFERROR(INDEX(PROFORMA!$A:$K,ROW()-1-$L$2-$M$2-$N$2+1,11),""),"")))))</f>
        <v>1</v>
      </c>
      <c r="L342" s="3">
        <f>COUNTA(MCQ!$A:$A)-1</f>
        <v>122</v>
      </c>
      <c r="M342" s="3">
        <f>COUNTA(CLOZE_AB!$A:$A)-1</f>
        <v>168</v>
      </c>
      <c r="N342" s="3">
        <f>COUNTA(CLOZE_LIST!$A:$A)-1</f>
        <v>199</v>
      </c>
      <c r="O342" s="3">
        <f>COUNTA(PROFORMA!$A:$A)-1</f>
        <v>199</v>
      </c>
    </row>
    <row r="343" spans="1:15" ht="28.8" x14ac:dyDescent="0.3">
      <c r="A343" s="3" t="str">
        <f>IF(ROW()-1&lt;=0,"",IF(ROW()-1&lt;=$L$2,IFERROR(INDEX(MCQ!$A:$K,ROW()-1+1,1),""),IF(ROW()-1&lt;=$L$2+$M$2,IFERROR(INDEX(CLOZE_AB!$A:$K,ROW()-1-$L$2+1,1),""),IF(ROW()-1&lt;=$L$2+$M$2+$N$2,IFERROR(INDEX(CLOZE_LIST!$A:$K,ROW()-1-$L$2-$M$2+1,1),""),IF(ROW()-1&lt;=$L$2+$M$2+$N$2+$O$2,IFERROR(INDEX(PROFORMA!$A:$K,ROW()-1-$L$2-$M$2-$N$2+1,1),""),"")))))</f>
        <v>LIST_CGT_REQ_EISRR_006</v>
      </c>
      <c r="B343" s="3" t="str">
        <f>IF(ROW()-1&lt;=0,"",IF(ROW()-1&lt;=$L$2,IFERROR(INDEX(MCQ!$A:$K,ROW()-1+1,2),""),IF(ROW()-1&lt;=$L$2+$M$2,IFERROR(INDEX(CLOZE_AB!$A:$K,ROW()-1-$L$2+1,2),""),IF(ROW()-1&lt;=$L$2+$M$2+$N$2,IFERROR(INDEX(CLOZE_LIST!$A:$K,ROW()-1-$L$2-$M$2+1,2),""),IF(ROW()-1&lt;=$L$2+$M$2+$N$2+$O$2,IFERROR(INDEX(PROFORMA!$A:$K,ROW()-1-$L$2-$M$2-$N$2+1,2),""),"")))))</f>
        <v>Capital gains</v>
      </c>
      <c r="C343" s="3" t="str">
        <f>IF(ROW()-1&lt;=0,"",IF(ROW()-1&lt;=$L$2,IFERROR(INDEX(MCQ!$A:$K,ROW()-1+1,3),""),IF(ROW()-1&lt;=$L$2+$M$2,IFERROR(INDEX(CLOZE_AB!$A:$K,ROW()-1-$L$2+1,3),""),IF(ROW()-1&lt;=$L$2+$M$2+$N$2,IFERROR(INDEX(CLOZE_LIST!$A:$K,ROW()-1-$L$2-$M$2+1,3),""),IF(ROW()-1&lt;=$L$2+$M$2+$N$2+$O$2,IFERROR(INDEX(PROFORMA!$A:$K,ROW()-1-$L$2-$M$2-$N$2+1,3),""),"")))))</f>
        <v>requirements</v>
      </c>
      <c r="D343" s="3" t="str">
        <f>IF(ROW()-1&lt;=0,"",IF(ROW()-1&lt;=$L$2,IFERROR(INDEX(MCQ!$A:$K,ROW()-1+1,4),""),IF(ROW()-1&lt;=$L$2+$M$2,IFERROR(INDEX(CLOZE_AB!$A:$K,ROW()-1-$L$2+1,4),""),IF(ROW()-1&lt;=$L$2+$M$2+$N$2,IFERROR(INDEX(CLOZE_LIST!$A:$K,ROW()-1-$L$2-$M$2+1,4),""),IF(ROW()-1&lt;=$L$2+$M$2+$N$2+$O$2,IFERROR(INDEX(PROFORMA!$A:$K,ROW()-1-$L$2-$M$2-$N$2+1,4),""),"")))))</f>
        <v>EIS/SEIS reinvestment relief</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3</v>
      </c>
      <c r="G343" s="3" t="str">
        <f>IF(ROW()-1&lt;=0,"",IF(ROW()-1&lt;=$L$2,IFERROR(INDEX(MCQ!$A:$K,ROW()-1+1,7),""),IF(ROW()-1&lt;=$L$2+$M$2,IFERROR(INDEX(CLOZE_AB!$A:$K,ROW()-1-$L$2+1,7),""),IF(ROW()-1&lt;=$L$2+$M$2+$N$2,IFERROR(INDEX(CLOZE_LIST!$A:$K,ROW()-1-$L$2-$M$2+1,7),""),IF(ROW()-1&lt;=$L$2+$M$2+$N$2+$O$2,IFERROR(INDEX(PROFORMA!$A:$K,ROW()-1-$L$2-$M$2-$N$2+1,7),""),"")))))</f>
        <v>core</v>
      </c>
      <c r="H343" s="3" t="str">
        <f>IF(ROW()-1&lt;=0,"",IF(ROW()-1&lt;=$L$2,IFERROR(INDEX(MCQ!$A:$K,ROW()-1+1,8),""),IF(ROW()-1&lt;=$L$2+$M$2,IFERROR(INDEX(CLOZE_AB!$A:$K,ROW()-1-$L$2+1,8),""),IF(ROW()-1&lt;=$L$2+$M$2+$N$2,IFERROR(INDEX(CLOZE_LIST!$A:$K,ROW()-1-$L$2-$M$2+1,8),""),IF(ROW()-1&lt;=$L$2+$M$2+$N$2+$O$2,IFERROR(INDEX(PROFORMA!$A:$K,ROW()-1-$L$2-$M$2-$N$2+1,8),""),"")))))</f>
        <v>Y</v>
      </c>
      <c r="I343" s="3" t="str">
        <f>IF(ROW()-1&lt;=0,"",IF(ROW()-1&lt;=$L$2,IFERROR(INDEX(MCQ!$A:$K,ROW()-1+1,9),""),IF(ROW()-1&lt;=$L$2+$M$2,IFERROR(INDEX(CLOZE_AB!$A:$K,ROW()-1-$L$2+1,9),""),IF(ROW()-1&lt;=$L$2+$M$2+$N$2,IFERROR(INDEX(CLOZE_LIST!$A:$K,ROW()-1-$L$2-$M$2+1,9),""),IF(ROW()-1&lt;=$L$2+$M$2+$N$2+$O$2,IFERROR(INDEX(PROFORMA!$A:$K,ROW()-1-$L$2-$M$2-$N$2+1,9),""),"")))))</f>
        <v>seis;timing</v>
      </c>
      <c r="J343" s="3" t="str">
        <f>IF(ROW()-1&lt;=0,"",IF(ROW()-1&lt;=$L$2,IFERROR(INDEX(MCQ!$A:$K,ROW()-1+1,10),""),IF(ROW()-1&lt;=$L$2+$M$2,IFERROR(INDEX(CLOZE_AB!$A:$K,ROW()-1-$L$2+1,10),""),IF(ROW()-1&lt;=$L$2+$M$2+$N$2,IFERROR(INDEX(CLOZE_LIST!$A:$K,ROW()-1-$L$2-$M$2+1,10),""),IF(ROW()-1&lt;=$L$2+$M$2+$N$2+$O$2,IFERROR(INDEX(PROFORMA!$A:$K,ROW()-1-$L$2-$M$2-$N$2+1,10),""),"")))))</f>
        <v>assistant_generated</v>
      </c>
      <c r="K343" s="3">
        <f>IF(ROW()-1&lt;=0,"",IF(ROW()-1&lt;=$L$2,IFERROR(INDEX(MCQ!$A:$K,ROW()-1+1,11),""),IF(ROW()-1&lt;=$L$2+$M$2,IFERROR(INDEX(CLOZE_AB!$A:$K,ROW()-1-$L$2+1,11),""),IF(ROW()-1&lt;=$L$2+$M$2+$N$2,IFERROR(INDEX(CLOZE_LIST!$A:$K,ROW()-1-$L$2-$M$2+1,11),""),IF(ROW()-1&lt;=$L$2+$M$2+$N$2+$O$2,IFERROR(INDEX(PROFORMA!$A:$K,ROW()-1-$L$2-$M$2-$N$2+1,11),""),"")))))</f>
        <v>1</v>
      </c>
      <c r="L343" s="3">
        <f>COUNTA(MCQ!$A:$A)-1</f>
        <v>122</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LIST_CGT_REQ_EISRR_007</v>
      </c>
      <c r="B344" s="3" t="str">
        <f>IF(ROW()-1&lt;=0,"",IF(ROW()-1&lt;=$L$2,IFERROR(INDEX(MCQ!$A:$K,ROW()-1+1,2),""),IF(ROW()-1&lt;=$L$2+$M$2,IFERROR(INDEX(CLOZE_AB!$A:$K,ROW()-1-$L$2+1,2),""),IF(ROW()-1&lt;=$L$2+$M$2+$N$2,IFERROR(INDEX(CLOZE_LIST!$A:$K,ROW()-1-$L$2-$M$2+1,2),""),IF(ROW()-1&lt;=$L$2+$M$2+$N$2+$O$2,IFERROR(INDEX(PROFORMA!$A:$K,ROW()-1-$L$2-$M$2-$N$2+1,2),""),"")))))</f>
        <v>Capital gains</v>
      </c>
      <c r="C344" s="3" t="str">
        <f>IF(ROW()-1&lt;=0,"",IF(ROW()-1&lt;=$L$2,IFERROR(INDEX(MCQ!$A:$K,ROW()-1+1,3),""),IF(ROW()-1&lt;=$L$2+$M$2,IFERROR(INDEX(CLOZE_AB!$A:$K,ROW()-1-$L$2+1,3),""),IF(ROW()-1&lt;=$L$2+$M$2+$N$2,IFERROR(INDEX(CLOZE_LIST!$A:$K,ROW()-1-$L$2-$M$2+1,3),""),IF(ROW()-1&lt;=$L$2+$M$2+$N$2+$O$2,IFERROR(INDEX(PROFORMA!$A:$K,ROW()-1-$L$2-$M$2-$N$2+1,3),""),"")))))</f>
        <v>requirements</v>
      </c>
      <c r="D344" s="3" t="str">
        <f>IF(ROW()-1&lt;=0,"",IF(ROW()-1&lt;=$L$2,IFERROR(INDEX(MCQ!$A:$K,ROW()-1+1,4),""),IF(ROW()-1&lt;=$L$2+$M$2,IFERROR(INDEX(CLOZE_AB!$A:$K,ROW()-1-$L$2+1,4),""),IF(ROW()-1&lt;=$L$2+$M$2+$N$2,IFERROR(INDEX(CLOZE_LIST!$A:$K,ROW()-1-$L$2-$M$2+1,4),""),IF(ROW()-1&lt;=$L$2+$M$2+$N$2+$O$2,IFERROR(INDEX(PROFORMA!$A:$K,ROW()-1-$L$2-$M$2-$N$2+1,4),""),"")))))</f>
        <v>EIS/SEIS reinvestment relief</v>
      </c>
      <c r="E344" s="3" t="str">
        <f>IF(ROW()-1&lt;=0,"",IF(ROW()-1&lt;=$L$2,IFERROR(INDEX(MCQ!$A:$K,ROW()-1+1,5),""),IF(ROW()-1&lt;=$L$2+$M$2,IFERROR(INDEX(CLOZE_AB!$A:$K,ROW()-1-$L$2+1,5),""),IF(ROW()-1&lt;=$L$2+$M$2+$N$2,IFERROR(INDEX(CLOZE_LIST!$A:$K,ROW()-1-$L$2-$M$2+1,5),""),IF(ROW()-1&lt;=$L$2+$M$2+$N$2+$O$2,IFERROR(INDEX(PROFORMA!$A:$K,ROW()-1-$L$2-$M$2-$N$2+1,5),""),"")))))</f>
        <v>cloze_list</v>
      </c>
      <c r="F344" s="3">
        <f>IF(ROW()-1&lt;=0,"",IF(ROW()-1&lt;=$L$2,IFERROR(INDEX(MCQ!$A:$K,ROW()-1+1,6),""),IF(ROW()-1&lt;=$L$2+$M$2,IFERROR(INDEX(CLOZE_AB!$A:$K,ROW()-1-$L$2+1,6),""),IF(ROW()-1&lt;=$L$2+$M$2+$N$2,IFERROR(INDEX(CLOZE_LIST!$A:$K,ROW()-1-$L$2-$M$2+1,6),""),IF(ROW()-1&lt;=$L$2+$M$2+$N$2+$O$2,IFERROR(INDEX(PROFORMA!$A:$K,ROW()-1-$L$2-$M$2-$N$2+1,6),""),"")))))</f>
        <v>3</v>
      </c>
      <c r="G344" s="3" t="str">
        <f>IF(ROW()-1&lt;=0,"",IF(ROW()-1&lt;=$L$2,IFERROR(INDEX(MCQ!$A:$K,ROW()-1+1,7),""),IF(ROW()-1&lt;=$L$2+$M$2,IFERROR(INDEX(CLOZE_AB!$A:$K,ROW()-1-$L$2+1,7),""),IF(ROW()-1&lt;=$L$2+$M$2+$N$2,IFERROR(INDEX(CLOZE_LIST!$A:$K,ROW()-1-$L$2-$M$2+1,7),""),IF(ROW()-1&lt;=$L$2+$M$2+$N$2+$O$2,IFERROR(INDEX(PROFORMA!$A:$K,ROW()-1-$L$2-$M$2-$N$2+1,7),""),"")))))</f>
        <v>core</v>
      </c>
      <c r="H344" s="3" t="str">
        <f>IF(ROW()-1&lt;=0,"",IF(ROW()-1&lt;=$L$2,IFERROR(INDEX(MCQ!$A:$K,ROW()-1+1,8),""),IF(ROW()-1&lt;=$L$2+$M$2,IFERROR(INDEX(CLOZE_AB!$A:$K,ROW()-1-$L$2+1,8),""),IF(ROW()-1&lt;=$L$2+$M$2+$N$2,IFERROR(INDEX(CLOZE_LIST!$A:$K,ROW()-1-$L$2-$M$2+1,8),""),IF(ROW()-1&lt;=$L$2+$M$2+$N$2+$O$2,IFERROR(INDEX(PROFORMA!$A:$K,ROW()-1-$L$2-$M$2-$N$2+1,8),""),"")))))</f>
        <v>Y</v>
      </c>
      <c r="I344" s="3" t="str">
        <f>IF(ROW()-1&lt;=0,"",IF(ROW()-1&lt;=$L$2,IFERROR(INDEX(MCQ!$A:$K,ROW()-1+1,9),""),IF(ROW()-1&lt;=$L$2+$M$2,IFERROR(INDEX(CLOZE_AB!$A:$K,ROW()-1-$L$2+1,9),""),IF(ROW()-1&lt;=$L$2+$M$2+$N$2,IFERROR(INDEX(CLOZE_LIST!$A:$K,ROW()-1-$L$2-$M$2+1,9),""),IF(ROW()-1&lt;=$L$2+$M$2+$N$2+$O$2,IFERROR(INDEX(PROFORMA!$A:$K,ROW()-1-$L$2-$M$2-$N$2+1,9),""),"")))))</f>
        <v>seis;claim</v>
      </c>
      <c r="J344" s="3" t="str">
        <f>IF(ROW()-1&lt;=0,"",IF(ROW()-1&lt;=$L$2,IFERROR(INDEX(MCQ!$A:$K,ROW()-1+1,10),""),IF(ROW()-1&lt;=$L$2+$M$2,IFERROR(INDEX(CLOZE_AB!$A:$K,ROW()-1-$L$2+1,10),""),IF(ROW()-1&lt;=$L$2+$M$2+$N$2,IFERROR(INDEX(CLOZE_LIST!$A:$K,ROW()-1-$L$2-$M$2+1,10),""),IF(ROW()-1&lt;=$L$2+$M$2+$N$2+$O$2,IFERROR(INDEX(PROFORMA!$A:$K,ROW()-1-$L$2-$M$2-$N$2+1,10),""),"")))))</f>
        <v>assistant_generated</v>
      </c>
      <c r="K344" s="3">
        <f>IF(ROW()-1&lt;=0,"",IF(ROW()-1&lt;=$L$2,IFERROR(INDEX(MCQ!$A:$K,ROW()-1+1,11),""),IF(ROW()-1&lt;=$L$2+$M$2,IFERROR(INDEX(CLOZE_AB!$A:$K,ROW()-1-$L$2+1,11),""),IF(ROW()-1&lt;=$L$2+$M$2+$N$2,IFERROR(INDEX(CLOZE_LIST!$A:$K,ROW()-1-$L$2-$M$2+1,11),""),IF(ROW()-1&lt;=$L$2+$M$2+$N$2+$O$2,IFERROR(INDEX(PROFORMA!$A:$K,ROW()-1-$L$2-$M$2-$N$2+1,11),""),"")))))</f>
        <v>1</v>
      </c>
      <c r="L344" s="3">
        <f>COUNTA(MCQ!$A:$A)-1</f>
        <v>122</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LIST_CGT_REQ_EISRR_008</v>
      </c>
      <c r="B345" s="3" t="str">
        <f>IF(ROW()-1&lt;=0,"",IF(ROW()-1&lt;=$L$2,IFERROR(INDEX(MCQ!$A:$K,ROW()-1+1,2),""),IF(ROW()-1&lt;=$L$2+$M$2,IFERROR(INDEX(CLOZE_AB!$A:$K,ROW()-1-$L$2+1,2),""),IF(ROW()-1&lt;=$L$2+$M$2+$N$2,IFERROR(INDEX(CLOZE_LIST!$A:$K,ROW()-1-$L$2-$M$2+1,2),""),IF(ROW()-1&lt;=$L$2+$M$2+$N$2+$O$2,IFERROR(INDEX(PROFORMA!$A:$K,ROW()-1-$L$2-$M$2-$N$2+1,2),""),"")))))</f>
        <v>Capital gains</v>
      </c>
      <c r="C345" s="3" t="str">
        <f>IF(ROW()-1&lt;=0,"",IF(ROW()-1&lt;=$L$2,IFERROR(INDEX(MCQ!$A:$K,ROW()-1+1,3),""),IF(ROW()-1&lt;=$L$2+$M$2,IFERROR(INDEX(CLOZE_AB!$A:$K,ROW()-1-$L$2+1,3),""),IF(ROW()-1&lt;=$L$2+$M$2+$N$2,IFERROR(INDEX(CLOZE_LIST!$A:$K,ROW()-1-$L$2-$M$2+1,3),""),IF(ROW()-1&lt;=$L$2+$M$2+$N$2+$O$2,IFERROR(INDEX(PROFORMA!$A:$K,ROW()-1-$L$2-$M$2-$N$2+1,3),""),"")))))</f>
        <v>requirements</v>
      </c>
      <c r="D345" s="3" t="str">
        <f>IF(ROW()-1&lt;=0,"",IF(ROW()-1&lt;=$L$2,IFERROR(INDEX(MCQ!$A:$K,ROW()-1+1,4),""),IF(ROW()-1&lt;=$L$2+$M$2,IFERROR(INDEX(CLOZE_AB!$A:$K,ROW()-1-$L$2+1,4),""),IF(ROW()-1&lt;=$L$2+$M$2+$N$2,IFERROR(INDEX(CLOZE_LIST!$A:$K,ROW()-1-$L$2-$M$2+1,4),""),IF(ROW()-1&lt;=$L$2+$M$2+$N$2+$O$2,IFERROR(INDEX(PROFORMA!$A:$K,ROW()-1-$L$2-$M$2-$N$2+1,4),""),"")))))</f>
        <v>EIS/SEIS reinvestment relief</v>
      </c>
      <c r="E345" s="3" t="str">
        <f>IF(ROW()-1&lt;=0,"",IF(ROW()-1&lt;=$L$2,IFERROR(INDEX(MCQ!$A:$K,ROW()-1+1,5),""),IF(ROW()-1&lt;=$L$2+$M$2,IFERROR(INDEX(CLOZE_AB!$A:$K,ROW()-1-$L$2+1,5),""),IF(ROW()-1&lt;=$L$2+$M$2+$N$2,IFERROR(INDEX(CLOZE_LIST!$A:$K,ROW()-1-$L$2-$M$2+1,5),""),IF(ROW()-1&lt;=$L$2+$M$2+$N$2+$O$2,IFERROR(INDEX(PROFORMA!$A:$K,ROW()-1-$L$2-$M$2-$N$2+1,5),""),"")))))</f>
        <v>cloze_list</v>
      </c>
      <c r="F345" s="3">
        <f>IF(ROW()-1&lt;=0,"",IF(ROW()-1&lt;=$L$2,IFERROR(INDEX(MCQ!$A:$K,ROW()-1+1,6),""),IF(ROW()-1&lt;=$L$2+$M$2,IFERROR(INDEX(CLOZE_AB!$A:$K,ROW()-1-$L$2+1,6),""),IF(ROW()-1&lt;=$L$2+$M$2+$N$2,IFERROR(INDEX(CLOZE_LIST!$A:$K,ROW()-1-$L$2-$M$2+1,6),""),IF(ROW()-1&lt;=$L$2+$M$2+$N$2+$O$2,IFERROR(INDEX(PROFORMA!$A:$K,ROW()-1-$L$2-$M$2-$N$2+1,6),""),"")))))</f>
        <v>3</v>
      </c>
      <c r="G345" s="3" t="str">
        <f>IF(ROW()-1&lt;=0,"",IF(ROW()-1&lt;=$L$2,IFERROR(INDEX(MCQ!$A:$K,ROW()-1+1,7),""),IF(ROW()-1&lt;=$L$2+$M$2,IFERROR(INDEX(CLOZE_AB!$A:$K,ROW()-1-$L$2+1,7),""),IF(ROW()-1&lt;=$L$2+$M$2+$N$2,IFERROR(INDEX(CLOZE_LIST!$A:$K,ROW()-1-$L$2-$M$2+1,7),""),IF(ROW()-1&lt;=$L$2+$M$2+$N$2+$O$2,IFERROR(INDEX(PROFORMA!$A:$K,ROW()-1-$L$2-$M$2-$N$2+1,7),""),"")))))</f>
        <v>core</v>
      </c>
      <c r="H345" s="3" t="str">
        <f>IF(ROW()-1&lt;=0,"",IF(ROW()-1&lt;=$L$2,IFERROR(INDEX(MCQ!$A:$K,ROW()-1+1,8),""),IF(ROW()-1&lt;=$L$2+$M$2,IFERROR(INDEX(CLOZE_AB!$A:$K,ROW()-1-$L$2+1,8),""),IF(ROW()-1&lt;=$L$2+$M$2+$N$2,IFERROR(INDEX(CLOZE_LIST!$A:$K,ROW()-1-$L$2-$M$2+1,8),""),IF(ROW()-1&lt;=$L$2+$M$2+$N$2+$O$2,IFERROR(INDEX(PROFORMA!$A:$K,ROW()-1-$L$2-$M$2-$N$2+1,8),""),"")))))</f>
        <v>Y</v>
      </c>
      <c r="I345" s="3" t="str">
        <f>IF(ROW()-1&lt;=0,"",IF(ROW()-1&lt;=$L$2,IFERROR(INDEX(MCQ!$A:$K,ROW()-1+1,9),""),IF(ROW()-1&lt;=$L$2+$M$2,IFERROR(INDEX(CLOZE_AB!$A:$K,ROW()-1-$L$2+1,9),""),IF(ROW()-1&lt;=$L$2+$M$2+$N$2,IFERROR(INDEX(CLOZE_LIST!$A:$K,ROW()-1-$L$2-$M$2+1,9),""),IF(ROW()-1&lt;=$L$2+$M$2+$N$2+$O$2,IFERROR(INDEX(PROFORMA!$A:$K,ROW()-1-$L$2-$M$2-$N$2+1,9),""),"")))))</f>
        <v>seis;chargeable</v>
      </c>
      <c r="J345" s="3" t="str">
        <f>IF(ROW()-1&lt;=0,"",IF(ROW()-1&lt;=$L$2,IFERROR(INDEX(MCQ!$A:$K,ROW()-1+1,10),""),IF(ROW()-1&lt;=$L$2+$M$2,IFERROR(INDEX(CLOZE_AB!$A:$K,ROW()-1-$L$2+1,10),""),IF(ROW()-1&lt;=$L$2+$M$2+$N$2,IFERROR(INDEX(CLOZE_LIST!$A:$K,ROW()-1-$L$2-$M$2+1,10),""),IF(ROW()-1&lt;=$L$2+$M$2+$N$2+$O$2,IFERROR(INDEX(PROFORMA!$A:$K,ROW()-1-$L$2-$M$2-$N$2+1,10),""),"")))))</f>
        <v>assistant_generated</v>
      </c>
      <c r="K345" s="3">
        <f>IF(ROW()-1&lt;=0,"",IF(ROW()-1&lt;=$L$2,IFERROR(INDEX(MCQ!$A:$K,ROW()-1+1,11),""),IF(ROW()-1&lt;=$L$2+$M$2,IFERROR(INDEX(CLOZE_AB!$A:$K,ROW()-1-$L$2+1,11),""),IF(ROW()-1&lt;=$L$2+$M$2+$N$2,IFERROR(INDEX(CLOZE_LIST!$A:$K,ROW()-1-$L$2-$M$2+1,11),""),IF(ROW()-1&lt;=$L$2+$M$2+$N$2+$O$2,IFERROR(INDEX(PROFORMA!$A:$K,ROW()-1-$L$2-$M$2-$N$2+1,11),""),"")))))</f>
        <v>1</v>
      </c>
      <c r="L345" s="3">
        <f>COUNTA(MCQ!$A:$A)-1</f>
        <v>122</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LIST_CGT_REQ_EISRR_009</v>
      </c>
      <c r="B346" s="3" t="str">
        <f>IF(ROW()-1&lt;=0,"",IF(ROW()-1&lt;=$L$2,IFERROR(INDEX(MCQ!$A:$K,ROW()-1+1,2),""),IF(ROW()-1&lt;=$L$2+$M$2,IFERROR(INDEX(CLOZE_AB!$A:$K,ROW()-1-$L$2+1,2),""),IF(ROW()-1&lt;=$L$2+$M$2+$N$2,IFERROR(INDEX(CLOZE_LIST!$A:$K,ROW()-1-$L$2-$M$2+1,2),""),IF(ROW()-1&lt;=$L$2+$M$2+$N$2+$O$2,IFERROR(INDEX(PROFORMA!$A:$K,ROW()-1-$L$2-$M$2-$N$2+1,2),""),"")))))</f>
        <v>Capital gains</v>
      </c>
      <c r="C346" s="3" t="str">
        <f>IF(ROW()-1&lt;=0,"",IF(ROW()-1&lt;=$L$2,IFERROR(INDEX(MCQ!$A:$K,ROW()-1+1,3),""),IF(ROW()-1&lt;=$L$2+$M$2,IFERROR(INDEX(CLOZE_AB!$A:$K,ROW()-1-$L$2+1,3),""),IF(ROW()-1&lt;=$L$2+$M$2+$N$2,IFERROR(INDEX(CLOZE_LIST!$A:$K,ROW()-1-$L$2-$M$2+1,3),""),IF(ROW()-1&lt;=$L$2+$M$2+$N$2+$O$2,IFERROR(INDEX(PROFORMA!$A:$K,ROW()-1-$L$2-$M$2-$N$2+1,3),""),"")))))</f>
        <v>requirements</v>
      </c>
      <c r="D346" s="3" t="str">
        <f>IF(ROW()-1&lt;=0,"",IF(ROW()-1&lt;=$L$2,IFERROR(INDEX(MCQ!$A:$K,ROW()-1+1,4),""),IF(ROW()-1&lt;=$L$2+$M$2,IFERROR(INDEX(CLOZE_AB!$A:$K,ROW()-1-$L$2+1,4),""),IF(ROW()-1&lt;=$L$2+$M$2+$N$2,IFERROR(INDEX(CLOZE_LIST!$A:$K,ROW()-1-$L$2-$M$2+1,4),""),IF(ROW()-1&lt;=$L$2+$M$2+$N$2+$O$2,IFERROR(INDEX(PROFORMA!$A:$K,ROW()-1-$L$2-$M$2-$N$2+1,4),""),"")))))</f>
        <v>EIS/SEIS reinvestment relief</v>
      </c>
      <c r="E346" s="3" t="str">
        <f>IF(ROW()-1&lt;=0,"",IF(ROW()-1&lt;=$L$2,IFERROR(INDEX(MCQ!$A:$K,ROW()-1+1,5),""),IF(ROW()-1&lt;=$L$2+$M$2,IFERROR(INDEX(CLOZE_AB!$A:$K,ROW()-1-$L$2+1,5),""),IF(ROW()-1&lt;=$L$2+$M$2+$N$2,IFERROR(INDEX(CLOZE_LIST!$A:$K,ROW()-1-$L$2-$M$2+1,5),""),IF(ROW()-1&lt;=$L$2+$M$2+$N$2+$O$2,IFERROR(INDEX(PROFORMA!$A:$K,ROW()-1-$L$2-$M$2-$N$2+1,5),""),"")))))</f>
        <v>cloze_list</v>
      </c>
      <c r="F346" s="3">
        <f>IF(ROW()-1&lt;=0,"",IF(ROW()-1&lt;=$L$2,IFERROR(INDEX(MCQ!$A:$K,ROW()-1+1,6),""),IF(ROW()-1&lt;=$L$2+$M$2,IFERROR(INDEX(CLOZE_AB!$A:$K,ROW()-1-$L$2+1,6),""),IF(ROW()-1&lt;=$L$2+$M$2+$N$2,IFERROR(INDEX(CLOZE_LIST!$A:$K,ROW()-1-$L$2-$M$2+1,6),""),IF(ROW()-1&lt;=$L$2+$M$2+$N$2+$O$2,IFERROR(INDEX(PROFORMA!$A:$K,ROW()-1-$L$2-$M$2-$N$2+1,6),""),"")))))</f>
        <v>3</v>
      </c>
      <c r="G346" s="3" t="str">
        <f>IF(ROW()-1&lt;=0,"",IF(ROW()-1&lt;=$L$2,IFERROR(INDEX(MCQ!$A:$K,ROW()-1+1,7),""),IF(ROW()-1&lt;=$L$2+$M$2,IFERROR(INDEX(CLOZE_AB!$A:$K,ROW()-1-$L$2+1,7),""),IF(ROW()-1&lt;=$L$2+$M$2+$N$2,IFERROR(INDEX(CLOZE_LIST!$A:$K,ROW()-1-$L$2-$M$2+1,7),""),IF(ROW()-1&lt;=$L$2+$M$2+$N$2+$O$2,IFERROR(INDEX(PROFORMA!$A:$K,ROW()-1-$L$2-$M$2-$N$2+1,7),""),"")))))</f>
        <v>core</v>
      </c>
      <c r="H346" s="3" t="str">
        <f>IF(ROW()-1&lt;=0,"",IF(ROW()-1&lt;=$L$2,IFERROR(INDEX(MCQ!$A:$K,ROW()-1+1,8),""),IF(ROW()-1&lt;=$L$2+$M$2,IFERROR(INDEX(CLOZE_AB!$A:$K,ROW()-1-$L$2+1,8),""),IF(ROW()-1&lt;=$L$2+$M$2+$N$2,IFERROR(INDEX(CLOZE_LIST!$A:$K,ROW()-1-$L$2-$M$2+1,8),""),IF(ROW()-1&lt;=$L$2+$M$2+$N$2+$O$2,IFERROR(INDEX(PROFORMA!$A:$K,ROW()-1-$L$2-$M$2-$N$2+1,8),""),"")))))</f>
        <v>Y</v>
      </c>
      <c r="I346" s="3" t="str">
        <f>IF(ROW()-1&lt;=0,"",IF(ROW()-1&lt;=$L$2,IFERROR(INDEX(MCQ!$A:$K,ROW()-1+1,9),""),IF(ROW()-1&lt;=$L$2+$M$2,IFERROR(INDEX(CLOZE_AB!$A:$K,ROW()-1-$L$2+1,9),""),IF(ROW()-1&lt;=$L$2+$M$2+$N$2,IFERROR(INDEX(CLOZE_LIST!$A:$K,ROW()-1-$L$2-$M$2+1,9),""),IF(ROW()-1&lt;=$L$2+$M$2+$N$2+$O$2,IFERROR(INDEX(PROFORMA!$A:$K,ROW()-1-$L$2-$M$2-$N$2+1,9),""),"")))))</f>
        <v>seis;eis;difference</v>
      </c>
      <c r="J346" s="3" t="str">
        <f>IF(ROW()-1&lt;=0,"",IF(ROW()-1&lt;=$L$2,IFERROR(INDEX(MCQ!$A:$K,ROW()-1+1,10),""),IF(ROW()-1&lt;=$L$2+$M$2,IFERROR(INDEX(CLOZE_AB!$A:$K,ROW()-1-$L$2+1,10),""),IF(ROW()-1&lt;=$L$2+$M$2+$N$2,IFERROR(INDEX(CLOZE_LIST!$A:$K,ROW()-1-$L$2-$M$2+1,10),""),IF(ROW()-1&lt;=$L$2+$M$2+$N$2+$O$2,IFERROR(INDEX(PROFORMA!$A:$K,ROW()-1-$L$2-$M$2-$N$2+1,10),""),"")))))</f>
        <v>assistant_generated</v>
      </c>
      <c r="K346" s="3">
        <f>IF(ROW()-1&lt;=0,"",IF(ROW()-1&lt;=$L$2,IFERROR(INDEX(MCQ!$A:$K,ROW()-1+1,11),""),IF(ROW()-1&lt;=$L$2+$M$2,IFERROR(INDEX(CLOZE_AB!$A:$K,ROW()-1-$L$2+1,11),""),IF(ROW()-1&lt;=$L$2+$M$2+$N$2,IFERROR(INDEX(CLOZE_LIST!$A:$K,ROW()-1-$L$2-$M$2+1,11),""),IF(ROW()-1&lt;=$L$2+$M$2+$N$2+$O$2,IFERROR(INDEX(PROFORMA!$A:$K,ROW()-1-$L$2-$M$2-$N$2+1,11),""),"")))))</f>
        <v>1</v>
      </c>
      <c r="L346" s="3">
        <f>COUNTA(MCQ!$A:$A)-1</f>
        <v>122</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LIST_CGT_REQ_EISRR_010</v>
      </c>
      <c r="B347" s="3" t="str">
        <f>IF(ROW()-1&lt;=0,"",IF(ROW()-1&lt;=$L$2,IFERROR(INDEX(MCQ!$A:$K,ROW()-1+1,2),""),IF(ROW()-1&lt;=$L$2+$M$2,IFERROR(INDEX(CLOZE_AB!$A:$K,ROW()-1-$L$2+1,2),""),IF(ROW()-1&lt;=$L$2+$M$2+$N$2,IFERROR(INDEX(CLOZE_LIST!$A:$K,ROW()-1-$L$2-$M$2+1,2),""),IF(ROW()-1&lt;=$L$2+$M$2+$N$2+$O$2,IFERROR(INDEX(PROFORMA!$A:$K,ROW()-1-$L$2-$M$2-$N$2+1,2),""),"")))))</f>
        <v>Capital gains</v>
      </c>
      <c r="C347" s="3" t="str">
        <f>IF(ROW()-1&lt;=0,"",IF(ROW()-1&lt;=$L$2,IFERROR(INDEX(MCQ!$A:$K,ROW()-1+1,3),""),IF(ROW()-1&lt;=$L$2+$M$2,IFERROR(INDEX(CLOZE_AB!$A:$K,ROW()-1-$L$2+1,3),""),IF(ROW()-1&lt;=$L$2+$M$2+$N$2,IFERROR(INDEX(CLOZE_LIST!$A:$K,ROW()-1-$L$2-$M$2+1,3),""),IF(ROW()-1&lt;=$L$2+$M$2+$N$2+$O$2,IFERROR(INDEX(PROFORMA!$A:$K,ROW()-1-$L$2-$M$2-$N$2+1,3),""),"")))))</f>
        <v>requirements</v>
      </c>
      <c r="D347" s="3" t="str">
        <f>IF(ROW()-1&lt;=0,"",IF(ROW()-1&lt;=$L$2,IFERROR(INDEX(MCQ!$A:$K,ROW()-1+1,4),""),IF(ROW()-1&lt;=$L$2+$M$2,IFERROR(INDEX(CLOZE_AB!$A:$K,ROW()-1-$L$2+1,4),""),IF(ROW()-1&lt;=$L$2+$M$2+$N$2,IFERROR(INDEX(CLOZE_LIST!$A:$K,ROW()-1-$L$2-$M$2+1,4),""),IF(ROW()-1&lt;=$L$2+$M$2+$N$2+$O$2,IFERROR(INDEX(PROFORMA!$A:$K,ROW()-1-$L$2-$M$2-$N$2+1,4),""),"")))))</f>
        <v>EIS/SEIS reinvestment relief</v>
      </c>
      <c r="E347" s="3" t="str">
        <f>IF(ROW()-1&lt;=0,"",IF(ROW()-1&lt;=$L$2,IFERROR(INDEX(MCQ!$A:$K,ROW()-1+1,5),""),IF(ROW()-1&lt;=$L$2+$M$2,IFERROR(INDEX(CLOZE_AB!$A:$K,ROW()-1-$L$2+1,5),""),IF(ROW()-1&lt;=$L$2+$M$2+$N$2,IFERROR(INDEX(CLOZE_LIST!$A:$K,ROW()-1-$L$2-$M$2+1,5),""),IF(ROW()-1&lt;=$L$2+$M$2+$N$2+$O$2,IFERROR(INDEX(PROFORMA!$A:$K,ROW()-1-$L$2-$M$2-$N$2+1,5),""),"")))))</f>
        <v>cloze_list</v>
      </c>
      <c r="F347" s="3">
        <f>IF(ROW()-1&lt;=0,"",IF(ROW()-1&lt;=$L$2,IFERROR(INDEX(MCQ!$A:$K,ROW()-1+1,6),""),IF(ROW()-1&lt;=$L$2+$M$2,IFERROR(INDEX(CLOZE_AB!$A:$K,ROW()-1-$L$2+1,6),""),IF(ROW()-1&lt;=$L$2+$M$2+$N$2,IFERROR(INDEX(CLOZE_LIST!$A:$K,ROW()-1-$L$2-$M$2+1,6),""),IF(ROW()-1&lt;=$L$2+$M$2+$N$2+$O$2,IFERROR(INDEX(PROFORMA!$A:$K,ROW()-1-$L$2-$M$2-$N$2+1,6),""),"")))))</f>
        <v>3</v>
      </c>
      <c r="G347" s="3" t="str">
        <f>IF(ROW()-1&lt;=0,"",IF(ROW()-1&lt;=$L$2,IFERROR(INDEX(MCQ!$A:$K,ROW()-1+1,7),""),IF(ROW()-1&lt;=$L$2+$M$2,IFERROR(INDEX(CLOZE_AB!$A:$K,ROW()-1-$L$2+1,7),""),IF(ROW()-1&lt;=$L$2+$M$2+$N$2,IFERROR(INDEX(CLOZE_LIST!$A:$K,ROW()-1-$L$2-$M$2+1,7),""),IF(ROW()-1&lt;=$L$2+$M$2+$N$2+$O$2,IFERROR(INDEX(PROFORMA!$A:$K,ROW()-1-$L$2-$M$2-$N$2+1,7),""),"")))))</f>
        <v>core</v>
      </c>
      <c r="H347" s="3" t="str">
        <f>IF(ROW()-1&lt;=0,"",IF(ROW()-1&lt;=$L$2,IFERROR(INDEX(MCQ!$A:$K,ROW()-1+1,8),""),IF(ROW()-1&lt;=$L$2+$M$2,IFERROR(INDEX(CLOZE_AB!$A:$K,ROW()-1-$L$2+1,8),""),IF(ROW()-1&lt;=$L$2+$M$2+$N$2,IFERROR(INDEX(CLOZE_LIST!$A:$K,ROW()-1-$L$2-$M$2+1,8),""),IF(ROW()-1&lt;=$L$2+$M$2+$N$2+$O$2,IFERROR(INDEX(PROFORMA!$A:$K,ROW()-1-$L$2-$M$2-$N$2+1,8),""),"")))))</f>
        <v>Y</v>
      </c>
      <c r="I347" s="3" t="str">
        <f>IF(ROW()-1&lt;=0,"",IF(ROW()-1&lt;=$L$2,IFERROR(INDEX(MCQ!$A:$K,ROW()-1+1,9),""),IF(ROW()-1&lt;=$L$2+$M$2,IFERROR(INDEX(CLOZE_AB!$A:$K,ROW()-1-$L$2+1,9),""),IF(ROW()-1&lt;=$L$2+$M$2+$N$2,IFERROR(INDEX(CLOZE_LIST!$A:$K,ROW()-1-$L$2-$M$2+1,9),""),IF(ROW()-1&lt;=$L$2+$M$2+$N$2+$O$2,IFERROR(INDEX(PROFORMA!$A:$K,ROW()-1-$L$2-$M$2-$N$2+1,9),""),"")))))</f>
        <v>seis;withdrawal</v>
      </c>
      <c r="J347" s="3" t="str">
        <f>IF(ROW()-1&lt;=0,"",IF(ROW()-1&lt;=$L$2,IFERROR(INDEX(MCQ!$A:$K,ROW()-1+1,10),""),IF(ROW()-1&lt;=$L$2+$M$2,IFERROR(INDEX(CLOZE_AB!$A:$K,ROW()-1-$L$2+1,10),""),IF(ROW()-1&lt;=$L$2+$M$2+$N$2,IFERROR(INDEX(CLOZE_LIST!$A:$K,ROW()-1-$L$2-$M$2+1,10),""),IF(ROW()-1&lt;=$L$2+$M$2+$N$2+$O$2,IFERROR(INDEX(PROFORMA!$A:$K,ROW()-1-$L$2-$M$2-$N$2+1,10),""),"")))))</f>
        <v>assistant_generated</v>
      </c>
      <c r="K347" s="3">
        <f>IF(ROW()-1&lt;=0,"",IF(ROW()-1&lt;=$L$2,IFERROR(INDEX(MCQ!$A:$K,ROW()-1+1,11),""),IF(ROW()-1&lt;=$L$2+$M$2,IFERROR(INDEX(CLOZE_AB!$A:$K,ROW()-1-$L$2+1,11),""),IF(ROW()-1&lt;=$L$2+$M$2+$N$2,IFERROR(INDEX(CLOZE_LIST!$A:$K,ROW()-1-$L$2-$M$2+1,11),""),IF(ROW()-1&lt;=$L$2+$M$2+$N$2+$O$2,IFERROR(INDEX(PROFORMA!$A:$K,ROW()-1-$L$2-$M$2-$N$2+1,11),""),"")))))</f>
        <v>1</v>
      </c>
      <c r="L347" s="3">
        <f>COUNTA(MCQ!$A:$A)-1</f>
        <v>122</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t="str">
        <f>IF(ROW()-1&lt;=0,"",IF(ROW()-1&lt;=$L$2,IFERROR(INDEX(MCQ!$A:$K,ROW()-1+1,9),""),IF(ROW()-1&lt;=$L$2+$M$2,IFERROR(INDEX(CLOZE_AB!$A:$K,ROW()-1-$L$2+1,9),""),IF(ROW()-1&lt;=$L$2+$M$2+$N$2,IFERROR(INDEX(CLOZE_LIST!$A:$K,ROW()-1-$L$2-$M$2+1,9),""),IF(ROW()-1&lt;=$L$2+$M$2+$N$2+$O$2,IFERROR(INDEX(PROFORMA!$A:$K,ROW()-1-$L$2-$M$2-$N$2+1,9),""),"")))))</f>
        <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122</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t="str">
        <f>IF(ROW()-1&lt;=0,"",IF(ROW()-1&lt;=$L$2,IFERROR(INDEX(MCQ!$A:$K,ROW()-1+1,9),""),IF(ROW()-1&lt;=$L$2+$M$2,IFERROR(INDEX(CLOZE_AB!$A:$K,ROW()-1-$L$2+1,9),""),IF(ROW()-1&lt;=$L$2+$M$2+$N$2,IFERROR(INDEX(CLOZE_LIST!$A:$K,ROW()-1-$L$2-$M$2+1,9),""),IF(ROW()-1&lt;=$L$2+$M$2+$N$2+$O$2,IFERROR(INDEX(PROFORMA!$A:$K,ROW()-1-$L$2-$M$2-$N$2+1,9),""),"")))))</f>
        <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122</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t="str">
        <f>IF(ROW()-1&lt;=0,"",IF(ROW()-1&lt;=$L$2,IFERROR(INDEX(MCQ!$A:$K,ROW()-1+1,9),""),IF(ROW()-1&lt;=$L$2+$M$2,IFERROR(INDEX(CLOZE_AB!$A:$K,ROW()-1-$L$2+1,9),""),IF(ROW()-1&lt;=$L$2+$M$2+$N$2,IFERROR(INDEX(CLOZE_LIST!$A:$K,ROW()-1-$L$2-$M$2+1,9),""),IF(ROW()-1&lt;=$L$2+$M$2+$N$2+$O$2,IFERROR(INDEX(PROFORMA!$A:$K,ROW()-1-$L$2-$M$2-$N$2+1,9),""),"")))))</f>
        <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122</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t="str">
        <f>IF(ROW()-1&lt;=0,"",IF(ROW()-1&lt;=$L$2,IFERROR(INDEX(MCQ!$A:$K,ROW()-1+1,9),""),IF(ROW()-1&lt;=$L$2+$M$2,IFERROR(INDEX(CLOZE_AB!$A:$K,ROW()-1-$L$2+1,9),""),IF(ROW()-1&lt;=$L$2+$M$2+$N$2,IFERROR(INDEX(CLOZE_LIST!$A:$K,ROW()-1-$L$2-$M$2+1,9),""),IF(ROW()-1&lt;=$L$2+$M$2+$N$2+$O$2,IFERROR(INDEX(PROFORMA!$A:$K,ROW()-1-$L$2-$M$2-$N$2+1,9),""),"")))))</f>
        <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122</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t="str">
        <f>IF(ROW()-1&lt;=0,"",IF(ROW()-1&lt;=$L$2,IFERROR(INDEX(MCQ!$A:$K,ROW()-1+1,9),""),IF(ROW()-1&lt;=$L$2+$M$2,IFERROR(INDEX(CLOZE_AB!$A:$K,ROW()-1-$L$2+1,9),""),IF(ROW()-1&lt;=$L$2+$M$2+$N$2,IFERROR(INDEX(CLOZE_LIST!$A:$K,ROW()-1-$L$2-$M$2+1,9),""),IF(ROW()-1&lt;=$L$2+$M$2+$N$2+$O$2,IFERROR(INDEX(PROFORMA!$A:$K,ROW()-1-$L$2-$M$2-$N$2+1,9),""),"")))))</f>
        <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122</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t="str">
        <f>IF(ROW()-1&lt;=0,"",IF(ROW()-1&lt;=$L$2,IFERROR(INDEX(MCQ!$A:$K,ROW()-1+1,9),""),IF(ROW()-1&lt;=$L$2+$M$2,IFERROR(INDEX(CLOZE_AB!$A:$K,ROW()-1-$L$2+1,9),""),IF(ROW()-1&lt;=$L$2+$M$2+$N$2,IFERROR(INDEX(CLOZE_LIST!$A:$K,ROW()-1-$L$2-$M$2+1,9),""),IF(ROW()-1&lt;=$L$2+$M$2+$N$2+$O$2,IFERROR(INDEX(PROFORMA!$A:$K,ROW()-1-$L$2-$M$2-$N$2+1,9),""),"")))))</f>
        <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122</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t="str">
        <f>IF(ROW()-1&lt;=0,"",IF(ROW()-1&lt;=$L$2,IFERROR(INDEX(MCQ!$A:$K,ROW()-1+1,9),""),IF(ROW()-1&lt;=$L$2+$M$2,IFERROR(INDEX(CLOZE_AB!$A:$K,ROW()-1-$L$2+1,9),""),IF(ROW()-1&lt;=$L$2+$M$2+$N$2,IFERROR(INDEX(CLOZE_LIST!$A:$K,ROW()-1-$L$2-$M$2+1,9),""),IF(ROW()-1&lt;=$L$2+$M$2+$N$2+$O$2,IFERROR(INDEX(PROFORMA!$A:$K,ROW()-1-$L$2-$M$2-$N$2+1,9),""),"")))))</f>
        <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122</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t="str">
        <f>IF(ROW()-1&lt;=0,"",IF(ROW()-1&lt;=$L$2,IFERROR(INDEX(MCQ!$A:$K,ROW()-1+1,9),""),IF(ROW()-1&lt;=$L$2+$M$2,IFERROR(INDEX(CLOZE_AB!$A:$K,ROW()-1-$L$2+1,9),""),IF(ROW()-1&lt;=$L$2+$M$2+$N$2,IFERROR(INDEX(CLOZE_LIST!$A:$K,ROW()-1-$L$2-$M$2+1,9),""),IF(ROW()-1&lt;=$L$2+$M$2+$N$2+$O$2,IFERROR(INDEX(PROFORMA!$A:$K,ROW()-1-$L$2-$M$2-$N$2+1,9),""),"")))))</f>
        <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122</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t="str">
        <f>IF(ROW()-1&lt;=0,"",IF(ROW()-1&lt;=$L$2,IFERROR(INDEX(MCQ!$A:$K,ROW()-1+1,9),""),IF(ROW()-1&lt;=$L$2+$M$2,IFERROR(INDEX(CLOZE_AB!$A:$K,ROW()-1-$L$2+1,9),""),IF(ROW()-1&lt;=$L$2+$M$2+$N$2,IFERROR(INDEX(CLOZE_LIST!$A:$K,ROW()-1-$L$2-$M$2+1,9),""),IF(ROW()-1&lt;=$L$2+$M$2+$N$2+$O$2,IFERROR(INDEX(PROFORMA!$A:$K,ROW()-1-$L$2-$M$2-$N$2+1,9),""),"")))))</f>
        <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122</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t="str">
        <f>IF(ROW()-1&lt;=0,"",IF(ROW()-1&lt;=$L$2,IFERROR(INDEX(MCQ!$A:$K,ROW()-1+1,9),""),IF(ROW()-1&lt;=$L$2+$M$2,IFERROR(INDEX(CLOZE_AB!$A:$K,ROW()-1-$L$2+1,9),""),IF(ROW()-1&lt;=$L$2+$M$2+$N$2,IFERROR(INDEX(CLOZE_LIST!$A:$K,ROW()-1-$L$2-$M$2+1,9),""),IF(ROW()-1&lt;=$L$2+$M$2+$N$2+$O$2,IFERROR(INDEX(PROFORMA!$A:$K,ROW()-1-$L$2-$M$2-$N$2+1,9),""),"")))))</f>
        <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122</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t="str">
        <f>IF(ROW()-1&lt;=0,"",IF(ROW()-1&lt;=$L$2,IFERROR(INDEX(MCQ!$A:$K,ROW()-1+1,9),""),IF(ROW()-1&lt;=$L$2+$M$2,IFERROR(INDEX(CLOZE_AB!$A:$K,ROW()-1-$L$2+1,9),""),IF(ROW()-1&lt;=$L$2+$M$2+$N$2,IFERROR(INDEX(CLOZE_LIST!$A:$K,ROW()-1-$L$2-$M$2+1,9),""),IF(ROW()-1&lt;=$L$2+$M$2+$N$2+$O$2,IFERROR(INDEX(PROFORMA!$A:$K,ROW()-1-$L$2-$M$2-$N$2+1,9),""),"")))))</f>
        <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122</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t="str">
        <f>IF(ROW()-1&lt;=0,"",IF(ROW()-1&lt;=$L$2,IFERROR(INDEX(MCQ!$A:$K,ROW()-1+1,9),""),IF(ROW()-1&lt;=$L$2+$M$2,IFERROR(INDEX(CLOZE_AB!$A:$K,ROW()-1-$L$2+1,9),""),IF(ROW()-1&lt;=$L$2+$M$2+$N$2,IFERROR(INDEX(CLOZE_LIST!$A:$K,ROW()-1-$L$2-$M$2+1,9),""),IF(ROW()-1&lt;=$L$2+$M$2+$N$2+$O$2,IFERROR(INDEX(PROFORMA!$A:$K,ROW()-1-$L$2-$M$2-$N$2+1,9),""),"")))))</f>
        <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122</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t="str">
        <f>IF(ROW()-1&lt;=0,"",IF(ROW()-1&lt;=$L$2,IFERROR(INDEX(MCQ!$A:$K,ROW()-1+1,9),""),IF(ROW()-1&lt;=$L$2+$M$2,IFERROR(INDEX(CLOZE_AB!$A:$K,ROW()-1-$L$2+1,9),""),IF(ROW()-1&lt;=$L$2+$M$2+$N$2,IFERROR(INDEX(CLOZE_LIST!$A:$K,ROW()-1-$L$2-$M$2+1,9),""),IF(ROW()-1&lt;=$L$2+$M$2+$N$2+$O$2,IFERROR(INDEX(PROFORMA!$A:$K,ROW()-1-$L$2-$M$2-$N$2+1,9),""),"")))))</f>
        <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122</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t="str">
        <f>IF(ROW()-1&lt;=0,"",IF(ROW()-1&lt;=$L$2,IFERROR(INDEX(MCQ!$A:$K,ROW()-1+1,9),""),IF(ROW()-1&lt;=$L$2+$M$2,IFERROR(INDEX(CLOZE_AB!$A:$K,ROW()-1-$L$2+1,9),""),IF(ROW()-1&lt;=$L$2+$M$2+$N$2,IFERROR(INDEX(CLOZE_LIST!$A:$K,ROW()-1-$L$2-$M$2+1,9),""),IF(ROW()-1&lt;=$L$2+$M$2+$N$2+$O$2,IFERROR(INDEX(PROFORMA!$A:$K,ROW()-1-$L$2-$M$2-$N$2+1,9),""),"")))))</f>
        <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122</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t="str">
        <f>IF(ROW()-1&lt;=0,"",IF(ROW()-1&lt;=$L$2,IFERROR(INDEX(MCQ!$A:$K,ROW()-1+1,9),""),IF(ROW()-1&lt;=$L$2+$M$2,IFERROR(INDEX(CLOZE_AB!$A:$K,ROW()-1-$L$2+1,9),""),IF(ROW()-1&lt;=$L$2+$M$2+$N$2,IFERROR(INDEX(CLOZE_LIST!$A:$K,ROW()-1-$L$2-$M$2+1,9),""),IF(ROW()-1&lt;=$L$2+$M$2+$N$2+$O$2,IFERROR(INDEX(PROFORMA!$A:$K,ROW()-1-$L$2-$M$2-$N$2+1,9),""),"")))))</f>
        <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122</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t="str">
        <f>IF(ROW()-1&lt;=0,"",IF(ROW()-1&lt;=$L$2,IFERROR(INDEX(MCQ!$A:$K,ROW()-1+1,9),""),IF(ROW()-1&lt;=$L$2+$M$2,IFERROR(INDEX(CLOZE_AB!$A:$K,ROW()-1-$L$2+1,9),""),IF(ROW()-1&lt;=$L$2+$M$2+$N$2,IFERROR(INDEX(CLOZE_LIST!$A:$K,ROW()-1-$L$2-$M$2+1,9),""),IF(ROW()-1&lt;=$L$2+$M$2+$N$2+$O$2,IFERROR(INDEX(PROFORMA!$A:$K,ROW()-1-$L$2-$M$2-$N$2+1,9),""),"")))))</f>
        <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122</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t="str">
        <f>IF(ROW()-1&lt;=0,"",IF(ROW()-1&lt;=$L$2,IFERROR(INDEX(MCQ!$A:$K,ROW()-1+1,9),""),IF(ROW()-1&lt;=$L$2+$M$2,IFERROR(INDEX(CLOZE_AB!$A:$K,ROW()-1-$L$2+1,9),""),IF(ROW()-1&lt;=$L$2+$M$2+$N$2,IFERROR(INDEX(CLOZE_LIST!$A:$K,ROW()-1-$L$2-$M$2+1,9),""),IF(ROW()-1&lt;=$L$2+$M$2+$N$2+$O$2,IFERROR(INDEX(PROFORMA!$A:$K,ROW()-1-$L$2-$M$2-$N$2+1,9),""),"")))))</f>
        <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122</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t="str">
        <f>IF(ROW()-1&lt;=0,"",IF(ROW()-1&lt;=$L$2,IFERROR(INDEX(MCQ!$A:$K,ROW()-1+1,9),""),IF(ROW()-1&lt;=$L$2+$M$2,IFERROR(INDEX(CLOZE_AB!$A:$K,ROW()-1-$L$2+1,9),""),IF(ROW()-1&lt;=$L$2+$M$2+$N$2,IFERROR(INDEX(CLOZE_LIST!$A:$K,ROW()-1-$L$2-$M$2+1,9),""),IF(ROW()-1&lt;=$L$2+$M$2+$N$2+$O$2,IFERROR(INDEX(PROFORMA!$A:$K,ROW()-1-$L$2-$M$2-$N$2+1,9),""),"")))))</f>
        <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122</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t="str">
        <f>IF(ROW()-1&lt;=0,"",IF(ROW()-1&lt;=$L$2,IFERROR(INDEX(MCQ!$A:$K,ROW()-1+1,9),""),IF(ROW()-1&lt;=$L$2+$M$2,IFERROR(INDEX(CLOZE_AB!$A:$K,ROW()-1-$L$2+1,9),""),IF(ROW()-1&lt;=$L$2+$M$2+$N$2,IFERROR(INDEX(CLOZE_LIST!$A:$K,ROW()-1-$L$2-$M$2+1,9),""),IF(ROW()-1&lt;=$L$2+$M$2+$N$2+$O$2,IFERROR(INDEX(PROFORMA!$A:$K,ROW()-1-$L$2-$M$2-$N$2+1,9),""),"")))))</f>
        <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122</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t="str">
        <f>IF(ROW()-1&lt;=0,"",IF(ROW()-1&lt;=$L$2,IFERROR(INDEX(MCQ!$A:$K,ROW()-1+1,9),""),IF(ROW()-1&lt;=$L$2+$M$2,IFERROR(INDEX(CLOZE_AB!$A:$K,ROW()-1-$L$2+1,9),""),IF(ROW()-1&lt;=$L$2+$M$2+$N$2,IFERROR(INDEX(CLOZE_LIST!$A:$K,ROW()-1-$L$2-$M$2+1,9),""),IF(ROW()-1&lt;=$L$2+$M$2+$N$2+$O$2,IFERROR(INDEX(PROFORMA!$A:$K,ROW()-1-$L$2-$M$2-$N$2+1,9),""),"")))))</f>
        <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122</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t="str">
        <f>IF(ROW()-1&lt;=0,"",IF(ROW()-1&lt;=$L$2,IFERROR(INDEX(MCQ!$A:$K,ROW()-1+1,9),""),IF(ROW()-1&lt;=$L$2+$M$2,IFERROR(INDEX(CLOZE_AB!$A:$K,ROW()-1-$L$2+1,9),""),IF(ROW()-1&lt;=$L$2+$M$2+$N$2,IFERROR(INDEX(CLOZE_LIST!$A:$K,ROW()-1-$L$2-$M$2+1,9),""),IF(ROW()-1&lt;=$L$2+$M$2+$N$2+$O$2,IFERROR(INDEX(PROFORMA!$A:$K,ROW()-1-$L$2-$M$2-$N$2+1,9),""),"")))))</f>
        <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122</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t="str">
        <f>IF(ROW()-1&lt;=0,"",IF(ROW()-1&lt;=$L$2,IFERROR(INDEX(MCQ!$A:$K,ROW()-1+1,9),""),IF(ROW()-1&lt;=$L$2+$M$2,IFERROR(INDEX(CLOZE_AB!$A:$K,ROW()-1-$L$2+1,9),""),IF(ROW()-1&lt;=$L$2+$M$2+$N$2,IFERROR(INDEX(CLOZE_LIST!$A:$K,ROW()-1-$L$2-$M$2+1,9),""),IF(ROW()-1&lt;=$L$2+$M$2+$N$2+$O$2,IFERROR(INDEX(PROFORMA!$A:$K,ROW()-1-$L$2-$M$2-$N$2+1,9),""),"")))))</f>
        <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122</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t="str">
        <f>IF(ROW()-1&lt;=0,"",IF(ROW()-1&lt;=$L$2,IFERROR(INDEX(MCQ!$A:$K,ROW()-1+1,9),""),IF(ROW()-1&lt;=$L$2+$M$2,IFERROR(INDEX(CLOZE_AB!$A:$K,ROW()-1-$L$2+1,9),""),IF(ROW()-1&lt;=$L$2+$M$2+$N$2,IFERROR(INDEX(CLOZE_LIST!$A:$K,ROW()-1-$L$2-$M$2+1,9),""),IF(ROW()-1&lt;=$L$2+$M$2+$N$2+$O$2,IFERROR(INDEX(PROFORMA!$A:$K,ROW()-1-$L$2-$M$2-$N$2+1,9),""),"")))))</f>
        <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122</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t="str">
        <f>IF(ROW()-1&lt;=0,"",IF(ROW()-1&lt;=$L$2,IFERROR(INDEX(MCQ!$A:$K,ROW()-1+1,9),""),IF(ROW()-1&lt;=$L$2+$M$2,IFERROR(INDEX(CLOZE_AB!$A:$K,ROW()-1-$L$2+1,9),""),IF(ROW()-1&lt;=$L$2+$M$2+$N$2,IFERROR(INDEX(CLOZE_LIST!$A:$K,ROW()-1-$L$2-$M$2+1,9),""),IF(ROW()-1&lt;=$L$2+$M$2+$N$2+$O$2,IFERROR(INDEX(PROFORMA!$A:$K,ROW()-1-$L$2-$M$2-$N$2+1,9),""),"")))))</f>
        <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122</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t="str">
        <f>IF(ROW()-1&lt;=0,"",IF(ROW()-1&lt;=$L$2,IFERROR(INDEX(MCQ!$A:$K,ROW()-1+1,9),""),IF(ROW()-1&lt;=$L$2+$M$2,IFERROR(INDEX(CLOZE_AB!$A:$K,ROW()-1-$L$2+1,9),""),IF(ROW()-1&lt;=$L$2+$M$2+$N$2,IFERROR(INDEX(CLOZE_LIST!$A:$K,ROW()-1-$L$2-$M$2+1,9),""),IF(ROW()-1&lt;=$L$2+$M$2+$N$2+$O$2,IFERROR(INDEX(PROFORMA!$A:$K,ROW()-1-$L$2-$M$2-$N$2+1,9),""),"")))))</f>
        <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122</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t="str">
        <f>IF(ROW()-1&lt;=0,"",IF(ROW()-1&lt;=$L$2,IFERROR(INDEX(MCQ!$A:$K,ROW()-1+1,9),""),IF(ROW()-1&lt;=$L$2+$M$2,IFERROR(INDEX(CLOZE_AB!$A:$K,ROW()-1-$L$2+1,9),""),IF(ROW()-1&lt;=$L$2+$M$2+$N$2,IFERROR(INDEX(CLOZE_LIST!$A:$K,ROW()-1-$L$2-$M$2+1,9),""),IF(ROW()-1&lt;=$L$2+$M$2+$N$2+$O$2,IFERROR(INDEX(PROFORMA!$A:$K,ROW()-1-$L$2-$M$2-$N$2+1,9),""),"")))))</f>
        <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122</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t="str">
        <f>IF(ROW()-1&lt;=0,"",IF(ROW()-1&lt;=$L$2,IFERROR(INDEX(MCQ!$A:$K,ROW()-1+1,9),""),IF(ROW()-1&lt;=$L$2+$M$2,IFERROR(INDEX(CLOZE_AB!$A:$K,ROW()-1-$L$2+1,9),""),IF(ROW()-1&lt;=$L$2+$M$2+$N$2,IFERROR(INDEX(CLOZE_LIST!$A:$K,ROW()-1-$L$2-$M$2+1,9),""),IF(ROW()-1&lt;=$L$2+$M$2+$N$2+$O$2,IFERROR(INDEX(PROFORMA!$A:$K,ROW()-1-$L$2-$M$2-$N$2+1,9),""),"")))))</f>
        <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122</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t="str">
        <f>IF(ROW()-1&lt;=0,"",IF(ROW()-1&lt;=$L$2,IFERROR(INDEX(MCQ!$A:$K,ROW()-1+1,9),""),IF(ROW()-1&lt;=$L$2+$M$2,IFERROR(INDEX(CLOZE_AB!$A:$K,ROW()-1-$L$2+1,9),""),IF(ROW()-1&lt;=$L$2+$M$2+$N$2,IFERROR(INDEX(CLOZE_LIST!$A:$K,ROW()-1-$L$2-$M$2+1,9),""),IF(ROW()-1&lt;=$L$2+$M$2+$N$2+$O$2,IFERROR(INDEX(PROFORMA!$A:$K,ROW()-1-$L$2-$M$2-$N$2+1,9),""),"")))))</f>
        <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122</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t="str">
        <f>IF(ROW()-1&lt;=0,"",IF(ROW()-1&lt;=$L$2,IFERROR(INDEX(MCQ!$A:$K,ROW()-1+1,9),""),IF(ROW()-1&lt;=$L$2+$M$2,IFERROR(INDEX(CLOZE_AB!$A:$K,ROW()-1-$L$2+1,9),""),IF(ROW()-1&lt;=$L$2+$M$2+$N$2,IFERROR(INDEX(CLOZE_LIST!$A:$K,ROW()-1-$L$2-$M$2+1,9),""),IF(ROW()-1&lt;=$L$2+$M$2+$N$2+$O$2,IFERROR(INDEX(PROFORMA!$A:$K,ROW()-1-$L$2-$M$2-$N$2+1,9),""),"")))))</f>
        <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122</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t="str">
        <f>IF(ROW()-1&lt;=0,"",IF(ROW()-1&lt;=$L$2,IFERROR(INDEX(MCQ!$A:$K,ROW()-1+1,9),""),IF(ROW()-1&lt;=$L$2+$M$2,IFERROR(INDEX(CLOZE_AB!$A:$K,ROW()-1-$L$2+1,9),""),IF(ROW()-1&lt;=$L$2+$M$2+$N$2,IFERROR(INDEX(CLOZE_LIST!$A:$K,ROW()-1-$L$2-$M$2+1,9),""),IF(ROW()-1&lt;=$L$2+$M$2+$N$2+$O$2,IFERROR(INDEX(PROFORMA!$A:$K,ROW()-1-$L$2-$M$2-$N$2+1,9),""),"")))))</f>
        <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122</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t="str">
        <f>IF(ROW()-1&lt;=0,"",IF(ROW()-1&lt;=$L$2,IFERROR(INDEX(MCQ!$A:$K,ROW()-1+1,9),""),IF(ROW()-1&lt;=$L$2+$M$2,IFERROR(INDEX(CLOZE_AB!$A:$K,ROW()-1-$L$2+1,9),""),IF(ROW()-1&lt;=$L$2+$M$2+$N$2,IFERROR(INDEX(CLOZE_LIST!$A:$K,ROW()-1-$L$2-$M$2+1,9),""),IF(ROW()-1&lt;=$L$2+$M$2+$N$2+$O$2,IFERROR(INDEX(PROFORMA!$A:$K,ROW()-1-$L$2-$M$2-$N$2+1,9),""),"")))))</f>
        <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122</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t="str">
        <f>IF(ROW()-1&lt;=0,"",IF(ROW()-1&lt;=$L$2,IFERROR(INDEX(MCQ!$A:$K,ROW()-1+1,9),""),IF(ROW()-1&lt;=$L$2+$M$2,IFERROR(INDEX(CLOZE_AB!$A:$K,ROW()-1-$L$2+1,9),""),IF(ROW()-1&lt;=$L$2+$M$2+$N$2,IFERROR(INDEX(CLOZE_LIST!$A:$K,ROW()-1-$L$2-$M$2+1,9),""),IF(ROW()-1&lt;=$L$2+$M$2+$N$2+$O$2,IFERROR(INDEX(PROFORMA!$A:$K,ROW()-1-$L$2-$M$2-$N$2+1,9),""),"")))))</f>
        <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122</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t="str">
        <f>IF(ROW()-1&lt;=0,"",IF(ROW()-1&lt;=$L$2,IFERROR(INDEX(MCQ!$A:$K,ROW()-1+1,9),""),IF(ROW()-1&lt;=$L$2+$M$2,IFERROR(INDEX(CLOZE_AB!$A:$K,ROW()-1-$L$2+1,9),""),IF(ROW()-1&lt;=$L$2+$M$2+$N$2,IFERROR(INDEX(CLOZE_LIST!$A:$K,ROW()-1-$L$2-$M$2+1,9),""),IF(ROW()-1&lt;=$L$2+$M$2+$N$2+$O$2,IFERROR(INDEX(PROFORMA!$A:$K,ROW()-1-$L$2-$M$2-$N$2+1,9),""),"")))))</f>
        <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122</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t="str">
        <f>IF(ROW()-1&lt;=0,"",IF(ROW()-1&lt;=$L$2,IFERROR(INDEX(MCQ!$A:$K,ROW()-1+1,9),""),IF(ROW()-1&lt;=$L$2+$M$2,IFERROR(INDEX(CLOZE_AB!$A:$K,ROW()-1-$L$2+1,9),""),IF(ROW()-1&lt;=$L$2+$M$2+$N$2,IFERROR(INDEX(CLOZE_LIST!$A:$K,ROW()-1-$L$2-$M$2+1,9),""),IF(ROW()-1&lt;=$L$2+$M$2+$N$2+$O$2,IFERROR(INDEX(PROFORMA!$A:$K,ROW()-1-$L$2-$M$2-$N$2+1,9),""),"")))))</f>
        <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122</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t="str">
        <f>IF(ROW()-1&lt;=0,"",IF(ROW()-1&lt;=$L$2,IFERROR(INDEX(MCQ!$A:$K,ROW()-1+1,9),""),IF(ROW()-1&lt;=$L$2+$M$2,IFERROR(INDEX(CLOZE_AB!$A:$K,ROW()-1-$L$2+1,9),""),IF(ROW()-1&lt;=$L$2+$M$2+$N$2,IFERROR(INDEX(CLOZE_LIST!$A:$K,ROW()-1-$L$2-$M$2+1,9),""),IF(ROW()-1&lt;=$L$2+$M$2+$N$2+$O$2,IFERROR(INDEX(PROFORMA!$A:$K,ROW()-1-$L$2-$M$2-$N$2+1,9),""),"")))))</f>
        <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122</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t="str">
        <f>IF(ROW()-1&lt;=0,"",IF(ROW()-1&lt;=$L$2,IFERROR(INDEX(MCQ!$A:$K,ROW()-1+1,9),""),IF(ROW()-1&lt;=$L$2+$M$2,IFERROR(INDEX(CLOZE_AB!$A:$K,ROW()-1-$L$2+1,9),""),IF(ROW()-1&lt;=$L$2+$M$2+$N$2,IFERROR(INDEX(CLOZE_LIST!$A:$K,ROW()-1-$L$2-$M$2+1,9),""),IF(ROW()-1&lt;=$L$2+$M$2+$N$2+$O$2,IFERROR(INDEX(PROFORMA!$A:$K,ROW()-1-$L$2-$M$2-$N$2+1,9),""),"")))))</f>
        <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122</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t="str">
        <f>IF(ROW()-1&lt;=0,"",IF(ROW()-1&lt;=$L$2,IFERROR(INDEX(MCQ!$A:$K,ROW()-1+1,9),""),IF(ROW()-1&lt;=$L$2+$M$2,IFERROR(INDEX(CLOZE_AB!$A:$K,ROW()-1-$L$2+1,9),""),IF(ROW()-1&lt;=$L$2+$M$2+$N$2,IFERROR(INDEX(CLOZE_LIST!$A:$K,ROW()-1-$L$2-$M$2+1,9),""),IF(ROW()-1&lt;=$L$2+$M$2+$N$2+$O$2,IFERROR(INDEX(PROFORMA!$A:$K,ROW()-1-$L$2-$M$2-$N$2+1,9),""),"")))))</f>
        <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122</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t="str">
        <f>IF(ROW()-1&lt;=0,"",IF(ROW()-1&lt;=$L$2,IFERROR(INDEX(MCQ!$A:$K,ROW()-1+1,9),""),IF(ROW()-1&lt;=$L$2+$M$2,IFERROR(INDEX(CLOZE_AB!$A:$K,ROW()-1-$L$2+1,9),""),IF(ROW()-1&lt;=$L$2+$M$2+$N$2,IFERROR(INDEX(CLOZE_LIST!$A:$K,ROW()-1-$L$2-$M$2+1,9),""),IF(ROW()-1&lt;=$L$2+$M$2+$N$2+$O$2,IFERROR(INDEX(PROFORMA!$A:$K,ROW()-1-$L$2-$M$2-$N$2+1,9),""),"")))))</f>
        <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122</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t="str">
        <f>IF(ROW()-1&lt;=0,"",IF(ROW()-1&lt;=$L$2,IFERROR(INDEX(MCQ!$A:$K,ROW()-1+1,9),""),IF(ROW()-1&lt;=$L$2+$M$2,IFERROR(INDEX(CLOZE_AB!$A:$K,ROW()-1-$L$2+1,9),""),IF(ROW()-1&lt;=$L$2+$M$2+$N$2,IFERROR(INDEX(CLOZE_LIST!$A:$K,ROW()-1-$L$2-$M$2+1,9),""),IF(ROW()-1&lt;=$L$2+$M$2+$N$2+$O$2,IFERROR(INDEX(PROFORMA!$A:$K,ROW()-1-$L$2-$M$2-$N$2+1,9),""),"")))))</f>
        <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122</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t="str">
        <f>IF(ROW()-1&lt;=0,"",IF(ROW()-1&lt;=$L$2,IFERROR(INDEX(MCQ!$A:$K,ROW()-1+1,9),""),IF(ROW()-1&lt;=$L$2+$M$2,IFERROR(INDEX(CLOZE_AB!$A:$K,ROW()-1-$L$2+1,9),""),IF(ROW()-1&lt;=$L$2+$M$2+$N$2,IFERROR(INDEX(CLOZE_LIST!$A:$K,ROW()-1-$L$2-$M$2+1,9),""),IF(ROW()-1&lt;=$L$2+$M$2+$N$2+$O$2,IFERROR(INDEX(PROFORMA!$A:$K,ROW()-1-$L$2-$M$2-$N$2+1,9),""),"")))))</f>
        <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122</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t="str">
        <f>IF(ROW()-1&lt;=0,"",IF(ROW()-1&lt;=$L$2,IFERROR(INDEX(MCQ!$A:$K,ROW()-1+1,9),""),IF(ROW()-1&lt;=$L$2+$M$2,IFERROR(INDEX(CLOZE_AB!$A:$K,ROW()-1-$L$2+1,9),""),IF(ROW()-1&lt;=$L$2+$M$2+$N$2,IFERROR(INDEX(CLOZE_LIST!$A:$K,ROW()-1-$L$2-$M$2+1,9),""),IF(ROW()-1&lt;=$L$2+$M$2+$N$2+$O$2,IFERROR(INDEX(PROFORMA!$A:$K,ROW()-1-$L$2-$M$2-$N$2+1,9),""),"")))))</f>
        <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122</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t="str">
        <f>IF(ROW()-1&lt;=0,"",IF(ROW()-1&lt;=$L$2,IFERROR(INDEX(MCQ!$A:$K,ROW()-1+1,9),""),IF(ROW()-1&lt;=$L$2+$M$2,IFERROR(INDEX(CLOZE_AB!$A:$K,ROW()-1-$L$2+1,9),""),IF(ROW()-1&lt;=$L$2+$M$2+$N$2,IFERROR(INDEX(CLOZE_LIST!$A:$K,ROW()-1-$L$2-$M$2+1,9),""),IF(ROW()-1&lt;=$L$2+$M$2+$N$2+$O$2,IFERROR(INDEX(PROFORMA!$A:$K,ROW()-1-$L$2-$M$2-$N$2+1,9),""),"")))))</f>
        <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122</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t="str">
        <f>IF(ROW()-1&lt;=0,"",IF(ROW()-1&lt;=$L$2,IFERROR(INDEX(MCQ!$A:$K,ROW()-1+1,9),""),IF(ROW()-1&lt;=$L$2+$M$2,IFERROR(INDEX(CLOZE_AB!$A:$K,ROW()-1-$L$2+1,9),""),IF(ROW()-1&lt;=$L$2+$M$2+$N$2,IFERROR(INDEX(CLOZE_LIST!$A:$K,ROW()-1-$L$2-$M$2+1,9),""),IF(ROW()-1&lt;=$L$2+$M$2+$N$2+$O$2,IFERROR(INDEX(PROFORMA!$A:$K,ROW()-1-$L$2-$M$2-$N$2+1,9),""),"")))))</f>
        <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122</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t="str">
        <f>IF(ROW()-1&lt;=0,"",IF(ROW()-1&lt;=$L$2,IFERROR(INDEX(MCQ!$A:$K,ROW()-1+1,9),""),IF(ROW()-1&lt;=$L$2+$M$2,IFERROR(INDEX(CLOZE_AB!$A:$K,ROW()-1-$L$2+1,9),""),IF(ROW()-1&lt;=$L$2+$M$2+$N$2,IFERROR(INDEX(CLOZE_LIST!$A:$K,ROW()-1-$L$2-$M$2+1,9),""),IF(ROW()-1&lt;=$L$2+$M$2+$N$2+$O$2,IFERROR(INDEX(PROFORMA!$A:$K,ROW()-1-$L$2-$M$2-$N$2+1,9),""),"")))))</f>
        <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122</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t="str">
        <f>IF(ROW()-1&lt;=0,"",IF(ROW()-1&lt;=$L$2,IFERROR(INDEX(MCQ!$A:$K,ROW()-1+1,9),""),IF(ROW()-1&lt;=$L$2+$M$2,IFERROR(INDEX(CLOZE_AB!$A:$K,ROW()-1-$L$2+1,9),""),IF(ROW()-1&lt;=$L$2+$M$2+$N$2,IFERROR(INDEX(CLOZE_LIST!$A:$K,ROW()-1-$L$2-$M$2+1,9),""),IF(ROW()-1&lt;=$L$2+$M$2+$N$2+$O$2,IFERROR(INDEX(PROFORMA!$A:$K,ROW()-1-$L$2-$M$2-$N$2+1,9),""),"")))))</f>
        <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122</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t="str">
        <f>IF(ROW()-1&lt;=0,"",IF(ROW()-1&lt;=$L$2,IFERROR(INDEX(MCQ!$A:$K,ROW()-1+1,9),""),IF(ROW()-1&lt;=$L$2+$M$2,IFERROR(INDEX(CLOZE_AB!$A:$K,ROW()-1-$L$2+1,9),""),IF(ROW()-1&lt;=$L$2+$M$2+$N$2,IFERROR(INDEX(CLOZE_LIST!$A:$K,ROW()-1-$L$2-$M$2+1,9),""),IF(ROW()-1&lt;=$L$2+$M$2+$N$2+$O$2,IFERROR(INDEX(PROFORMA!$A:$K,ROW()-1-$L$2-$M$2-$N$2+1,9),""),"")))))</f>
        <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122</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t="str">
        <f>IF(ROW()-1&lt;=0,"",IF(ROW()-1&lt;=$L$2,IFERROR(INDEX(MCQ!$A:$K,ROW()-1+1,9),""),IF(ROW()-1&lt;=$L$2+$M$2,IFERROR(INDEX(CLOZE_AB!$A:$K,ROW()-1-$L$2+1,9),""),IF(ROW()-1&lt;=$L$2+$M$2+$N$2,IFERROR(INDEX(CLOZE_LIST!$A:$K,ROW()-1-$L$2-$M$2+1,9),""),IF(ROW()-1&lt;=$L$2+$M$2+$N$2+$O$2,IFERROR(INDEX(PROFORMA!$A:$K,ROW()-1-$L$2-$M$2-$N$2+1,9),""),"")))))</f>
        <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122</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t="str">
        <f>IF(ROW()-1&lt;=0,"",IF(ROW()-1&lt;=$L$2,IFERROR(INDEX(MCQ!$A:$K,ROW()-1+1,9),""),IF(ROW()-1&lt;=$L$2+$M$2,IFERROR(INDEX(CLOZE_AB!$A:$K,ROW()-1-$L$2+1,9),""),IF(ROW()-1&lt;=$L$2+$M$2+$N$2,IFERROR(INDEX(CLOZE_LIST!$A:$K,ROW()-1-$L$2-$M$2+1,9),""),IF(ROW()-1&lt;=$L$2+$M$2+$N$2+$O$2,IFERROR(INDEX(PROFORMA!$A:$K,ROW()-1-$L$2-$M$2-$N$2+1,9),""),"")))))</f>
        <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122</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t="str">
        <f>IF(ROW()-1&lt;=0,"",IF(ROW()-1&lt;=$L$2,IFERROR(INDEX(MCQ!$A:$K,ROW()-1+1,9),""),IF(ROW()-1&lt;=$L$2+$M$2,IFERROR(INDEX(CLOZE_AB!$A:$K,ROW()-1-$L$2+1,9),""),IF(ROW()-1&lt;=$L$2+$M$2+$N$2,IFERROR(INDEX(CLOZE_LIST!$A:$K,ROW()-1-$L$2-$M$2+1,9),""),IF(ROW()-1&lt;=$L$2+$M$2+$N$2+$O$2,IFERROR(INDEX(PROFORMA!$A:$K,ROW()-1-$L$2-$M$2-$N$2+1,9),""),"")))))</f>
        <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122</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t="str">
        <f>IF(ROW()-1&lt;=0,"",IF(ROW()-1&lt;=$L$2,IFERROR(INDEX(MCQ!$A:$K,ROW()-1+1,9),""),IF(ROW()-1&lt;=$L$2+$M$2,IFERROR(INDEX(CLOZE_AB!$A:$K,ROW()-1-$L$2+1,9),""),IF(ROW()-1&lt;=$L$2+$M$2+$N$2,IFERROR(INDEX(CLOZE_LIST!$A:$K,ROW()-1-$L$2-$M$2+1,9),""),IF(ROW()-1&lt;=$L$2+$M$2+$N$2+$O$2,IFERROR(INDEX(PROFORMA!$A:$K,ROW()-1-$L$2-$M$2-$N$2+1,9),""),"")))))</f>
        <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122</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t="str">
        <f>IF(ROW()-1&lt;=0,"",IF(ROW()-1&lt;=$L$2,IFERROR(INDEX(MCQ!$A:$K,ROW()-1+1,9),""),IF(ROW()-1&lt;=$L$2+$M$2,IFERROR(INDEX(CLOZE_AB!$A:$K,ROW()-1-$L$2+1,9),""),IF(ROW()-1&lt;=$L$2+$M$2+$N$2,IFERROR(INDEX(CLOZE_LIST!$A:$K,ROW()-1-$L$2-$M$2+1,9),""),IF(ROW()-1&lt;=$L$2+$M$2+$N$2+$O$2,IFERROR(INDEX(PROFORMA!$A:$K,ROW()-1-$L$2-$M$2-$N$2+1,9),""),"")))))</f>
        <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122</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t="str">
        <f>IF(ROW()-1&lt;=0,"",IF(ROW()-1&lt;=$L$2,IFERROR(INDEX(MCQ!$A:$K,ROW()-1+1,9),""),IF(ROW()-1&lt;=$L$2+$M$2,IFERROR(INDEX(CLOZE_AB!$A:$K,ROW()-1-$L$2+1,9),""),IF(ROW()-1&lt;=$L$2+$M$2+$N$2,IFERROR(INDEX(CLOZE_LIST!$A:$K,ROW()-1-$L$2-$M$2+1,9),""),IF(ROW()-1&lt;=$L$2+$M$2+$N$2+$O$2,IFERROR(INDEX(PROFORMA!$A:$K,ROW()-1-$L$2-$M$2-$N$2+1,9),""),"")))))</f>
        <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122</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t="str">
        <f>IF(ROW()-1&lt;=0,"",IF(ROW()-1&lt;=$L$2,IFERROR(INDEX(MCQ!$A:$K,ROW()-1+1,9),""),IF(ROW()-1&lt;=$L$2+$M$2,IFERROR(INDEX(CLOZE_AB!$A:$K,ROW()-1-$L$2+1,9),""),IF(ROW()-1&lt;=$L$2+$M$2+$N$2,IFERROR(INDEX(CLOZE_LIST!$A:$K,ROW()-1-$L$2-$M$2+1,9),""),IF(ROW()-1&lt;=$L$2+$M$2+$N$2+$O$2,IFERROR(INDEX(PROFORMA!$A:$K,ROW()-1-$L$2-$M$2-$N$2+1,9),""),"")))))</f>
        <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122</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t="str">
        <f>IF(ROW()-1&lt;=0,"",IF(ROW()-1&lt;=$L$2,IFERROR(INDEX(MCQ!$A:$K,ROW()-1+1,9),""),IF(ROW()-1&lt;=$L$2+$M$2,IFERROR(INDEX(CLOZE_AB!$A:$K,ROW()-1-$L$2+1,9),""),IF(ROW()-1&lt;=$L$2+$M$2+$N$2,IFERROR(INDEX(CLOZE_LIST!$A:$K,ROW()-1-$L$2-$M$2+1,9),""),IF(ROW()-1&lt;=$L$2+$M$2+$N$2+$O$2,IFERROR(INDEX(PROFORMA!$A:$K,ROW()-1-$L$2-$M$2-$N$2+1,9),""),"")))))</f>
        <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122</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t="str">
        <f>IF(ROW()-1&lt;=0,"",IF(ROW()-1&lt;=$L$2,IFERROR(INDEX(MCQ!$A:$K,ROW()-1+1,9),""),IF(ROW()-1&lt;=$L$2+$M$2,IFERROR(INDEX(CLOZE_AB!$A:$K,ROW()-1-$L$2+1,9),""),IF(ROW()-1&lt;=$L$2+$M$2+$N$2,IFERROR(INDEX(CLOZE_LIST!$A:$K,ROW()-1-$L$2-$M$2+1,9),""),IF(ROW()-1&lt;=$L$2+$M$2+$N$2+$O$2,IFERROR(INDEX(PROFORMA!$A:$K,ROW()-1-$L$2-$M$2-$N$2+1,9),""),"")))))</f>
        <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122</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t="str">
        <f>IF(ROW()-1&lt;=0,"",IF(ROW()-1&lt;=$L$2,IFERROR(INDEX(MCQ!$A:$K,ROW()-1+1,9),""),IF(ROW()-1&lt;=$L$2+$M$2,IFERROR(INDEX(CLOZE_AB!$A:$K,ROW()-1-$L$2+1,9),""),IF(ROW()-1&lt;=$L$2+$M$2+$N$2,IFERROR(INDEX(CLOZE_LIST!$A:$K,ROW()-1-$L$2-$M$2+1,9),""),IF(ROW()-1&lt;=$L$2+$M$2+$N$2+$O$2,IFERROR(INDEX(PROFORMA!$A:$K,ROW()-1-$L$2-$M$2-$N$2+1,9),""),"")))))</f>
        <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122</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t="str">
        <f>IF(ROW()-1&lt;=0,"",IF(ROW()-1&lt;=$L$2,IFERROR(INDEX(MCQ!$A:$K,ROW()-1+1,9),""),IF(ROW()-1&lt;=$L$2+$M$2,IFERROR(INDEX(CLOZE_AB!$A:$K,ROW()-1-$L$2+1,9),""),IF(ROW()-1&lt;=$L$2+$M$2+$N$2,IFERROR(INDEX(CLOZE_LIST!$A:$K,ROW()-1-$L$2-$M$2+1,9),""),IF(ROW()-1&lt;=$L$2+$M$2+$N$2+$O$2,IFERROR(INDEX(PROFORMA!$A:$K,ROW()-1-$L$2-$M$2-$N$2+1,9),""),"")))))</f>
        <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122</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t="str">
        <f>IF(ROW()-1&lt;=0,"",IF(ROW()-1&lt;=$L$2,IFERROR(INDEX(MCQ!$A:$K,ROW()-1+1,9),""),IF(ROW()-1&lt;=$L$2+$M$2,IFERROR(INDEX(CLOZE_AB!$A:$K,ROW()-1-$L$2+1,9),""),IF(ROW()-1&lt;=$L$2+$M$2+$N$2,IFERROR(INDEX(CLOZE_LIST!$A:$K,ROW()-1-$L$2-$M$2+1,9),""),IF(ROW()-1&lt;=$L$2+$M$2+$N$2+$O$2,IFERROR(INDEX(PROFORMA!$A:$K,ROW()-1-$L$2-$M$2-$N$2+1,9),""),"")))))</f>
        <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122</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t="str">
        <f>IF(ROW()-1&lt;=0,"",IF(ROW()-1&lt;=$L$2,IFERROR(INDEX(MCQ!$A:$K,ROW()-1+1,9),""),IF(ROW()-1&lt;=$L$2+$M$2,IFERROR(INDEX(CLOZE_AB!$A:$K,ROW()-1-$L$2+1,9),""),IF(ROW()-1&lt;=$L$2+$M$2+$N$2,IFERROR(INDEX(CLOZE_LIST!$A:$K,ROW()-1-$L$2-$M$2+1,9),""),IF(ROW()-1&lt;=$L$2+$M$2+$N$2+$O$2,IFERROR(INDEX(PROFORMA!$A:$K,ROW()-1-$L$2-$M$2-$N$2+1,9),""),"")))))</f>
        <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122</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t="str">
        <f>IF(ROW()-1&lt;=0,"",IF(ROW()-1&lt;=$L$2,IFERROR(INDEX(MCQ!$A:$K,ROW()-1+1,9),""),IF(ROW()-1&lt;=$L$2+$M$2,IFERROR(INDEX(CLOZE_AB!$A:$K,ROW()-1-$L$2+1,9),""),IF(ROW()-1&lt;=$L$2+$M$2+$N$2,IFERROR(INDEX(CLOZE_LIST!$A:$K,ROW()-1-$L$2-$M$2+1,9),""),IF(ROW()-1&lt;=$L$2+$M$2+$N$2+$O$2,IFERROR(INDEX(PROFORMA!$A:$K,ROW()-1-$L$2-$M$2-$N$2+1,9),""),"")))))</f>
        <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122</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t="str">
        <f>IF(ROW()-1&lt;=0,"",IF(ROW()-1&lt;=$L$2,IFERROR(INDEX(MCQ!$A:$K,ROW()-1+1,9),""),IF(ROW()-1&lt;=$L$2+$M$2,IFERROR(INDEX(CLOZE_AB!$A:$K,ROW()-1-$L$2+1,9),""),IF(ROW()-1&lt;=$L$2+$M$2+$N$2,IFERROR(INDEX(CLOZE_LIST!$A:$K,ROW()-1-$L$2-$M$2+1,9),""),IF(ROW()-1&lt;=$L$2+$M$2+$N$2+$O$2,IFERROR(INDEX(PROFORMA!$A:$K,ROW()-1-$L$2-$M$2-$N$2+1,9),""),"")))))</f>
        <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122</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t="str">
        <f>IF(ROW()-1&lt;=0,"",IF(ROW()-1&lt;=$L$2,IFERROR(INDEX(MCQ!$A:$K,ROW()-1+1,9),""),IF(ROW()-1&lt;=$L$2+$M$2,IFERROR(INDEX(CLOZE_AB!$A:$K,ROW()-1-$L$2+1,9),""),IF(ROW()-1&lt;=$L$2+$M$2+$N$2,IFERROR(INDEX(CLOZE_LIST!$A:$K,ROW()-1-$L$2-$M$2+1,9),""),IF(ROW()-1&lt;=$L$2+$M$2+$N$2+$O$2,IFERROR(INDEX(PROFORMA!$A:$K,ROW()-1-$L$2-$M$2-$N$2+1,9),""),"")))))</f>
        <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122</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t="str">
        <f>IF(ROW()-1&lt;=0,"",IF(ROW()-1&lt;=$L$2,IFERROR(INDEX(MCQ!$A:$K,ROW()-1+1,9),""),IF(ROW()-1&lt;=$L$2+$M$2,IFERROR(INDEX(CLOZE_AB!$A:$K,ROW()-1-$L$2+1,9),""),IF(ROW()-1&lt;=$L$2+$M$2+$N$2,IFERROR(INDEX(CLOZE_LIST!$A:$K,ROW()-1-$L$2-$M$2+1,9),""),IF(ROW()-1&lt;=$L$2+$M$2+$N$2+$O$2,IFERROR(INDEX(PROFORMA!$A:$K,ROW()-1-$L$2-$M$2-$N$2+1,9),""),"")))))</f>
        <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122</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t="str">
        <f>IF(ROW()-1&lt;=0,"",IF(ROW()-1&lt;=$L$2,IFERROR(INDEX(MCQ!$A:$K,ROW()-1+1,9),""),IF(ROW()-1&lt;=$L$2+$M$2,IFERROR(INDEX(CLOZE_AB!$A:$K,ROW()-1-$L$2+1,9),""),IF(ROW()-1&lt;=$L$2+$M$2+$N$2,IFERROR(INDEX(CLOZE_LIST!$A:$K,ROW()-1-$L$2-$M$2+1,9),""),IF(ROW()-1&lt;=$L$2+$M$2+$N$2+$O$2,IFERROR(INDEX(PROFORMA!$A:$K,ROW()-1-$L$2-$M$2-$N$2+1,9),""),"")))))</f>
        <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122</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t="str">
        <f>IF(ROW()-1&lt;=0,"",IF(ROW()-1&lt;=$L$2,IFERROR(INDEX(MCQ!$A:$K,ROW()-1+1,9),""),IF(ROW()-1&lt;=$L$2+$M$2,IFERROR(INDEX(CLOZE_AB!$A:$K,ROW()-1-$L$2+1,9),""),IF(ROW()-1&lt;=$L$2+$M$2+$N$2,IFERROR(INDEX(CLOZE_LIST!$A:$K,ROW()-1-$L$2-$M$2+1,9),""),IF(ROW()-1&lt;=$L$2+$M$2+$N$2+$O$2,IFERROR(INDEX(PROFORMA!$A:$K,ROW()-1-$L$2-$M$2-$N$2+1,9),""),"")))))</f>
        <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122</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t="str">
        <f>IF(ROW()-1&lt;=0,"",IF(ROW()-1&lt;=$L$2,IFERROR(INDEX(MCQ!$A:$K,ROW()-1+1,9),""),IF(ROW()-1&lt;=$L$2+$M$2,IFERROR(INDEX(CLOZE_AB!$A:$K,ROW()-1-$L$2+1,9),""),IF(ROW()-1&lt;=$L$2+$M$2+$N$2,IFERROR(INDEX(CLOZE_LIST!$A:$K,ROW()-1-$L$2-$M$2+1,9),""),IF(ROW()-1&lt;=$L$2+$M$2+$N$2+$O$2,IFERROR(INDEX(PROFORMA!$A:$K,ROW()-1-$L$2-$M$2-$N$2+1,9),""),"")))))</f>
        <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122</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t="str">
        <f>IF(ROW()-1&lt;=0,"",IF(ROW()-1&lt;=$L$2,IFERROR(INDEX(MCQ!$A:$K,ROW()-1+1,9),""),IF(ROW()-1&lt;=$L$2+$M$2,IFERROR(INDEX(CLOZE_AB!$A:$K,ROW()-1-$L$2+1,9),""),IF(ROW()-1&lt;=$L$2+$M$2+$N$2,IFERROR(INDEX(CLOZE_LIST!$A:$K,ROW()-1-$L$2-$M$2+1,9),""),IF(ROW()-1&lt;=$L$2+$M$2+$N$2+$O$2,IFERROR(INDEX(PROFORMA!$A:$K,ROW()-1-$L$2-$M$2-$N$2+1,9),""),"")))))</f>
        <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122</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t="str">
        <f>IF(ROW()-1&lt;=0,"",IF(ROW()-1&lt;=$L$2,IFERROR(INDEX(MCQ!$A:$K,ROW()-1+1,9),""),IF(ROW()-1&lt;=$L$2+$M$2,IFERROR(INDEX(CLOZE_AB!$A:$K,ROW()-1-$L$2+1,9),""),IF(ROW()-1&lt;=$L$2+$M$2+$N$2,IFERROR(INDEX(CLOZE_LIST!$A:$K,ROW()-1-$L$2-$M$2+1,9),""),IF(ROW()-1&lt;=$L$2+$M$2+$N$2+$O$2,IFERROR(INDEX(PROFORMA!$A:$K,ROW()-1-$L$2-$M$2-$N$2+1,9),""),"")))))</f>
        <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122</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t="str">
        <f>IF(ROW()-1&lt;=0,"",IF(ROW()-1&lt;=$L$2,IFERROR(INDEX(MCQ!$A:$K,ROW()-1+1,9),""),IF(ROW()-1&lt;=$L$2+$M$2,IFERROR(INDEX(CLOZE_AB!$A:$K,ROW()-1-$L$2+1,9),""),IF(ROW()-1&lt;=$L$2+$M$2+$N$2,IFERROR(INDEX(CLOZE_LIST!$A:$K,ROW()-1-$L$2-$M$2+1,9),""),IF(ROW()-1&lt;=$L$2+$M$2+$N$2+$O$2,IFERROR(INDEX(PROFORMA!$A:$K,ROW()-1-$L$2-$M$2-$N$2+1,9),""),"")))))</f>
        <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122</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t="str">
        <f>IF(ROW()-1&lt;=0,"",IF(ROW()-1&lt;=$L$2,IFERROR(INDEX(MCQ!$A:$K,ROW()-1+1,9),""),IF(ROW()-1&lt;=$L$2+$M$2,IFERROR(INDEX(CLOZE_AB!$A:$K,ROW()-1-$L$2+1,9),""),IF(ROW()-1&lt;=$L$2+$M$2+$N$2,IFERROR(INDEX(CLOZE_LIST!$A:$K,ROW()-1-$L$2-$M$2+1,9),""),IF(ROW()-1&lt;=$L$2+$M$2+$N$2+$O$2,IFERROR(INDEX(PROFORMA!$A:$K,ROW()-1-$L$2-$M$2-$N$2+1,9),""),"")))))</f>
        <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122</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t="str">
        <f>IF(ROW()-1&lt;=0,"",IF(ROW()-1&lt;=$L$2,IFERROR(INDEX(MCQ!$A:$K,ROW()-1+1,9),""),IF(ROW()-1&lt;=$L$2+$M$2,IFERROR(INDEX(CLOZE_AB!$A:$K,ROW()-1-$L$2+1,9),""),IF(ROW()-1&lt;=$L$2+$M$2+$N$2,IFERROR(INDEX(CLOZE_LIST!$A:$K,ROW()-1-$L$2-$M$2+1,9),""),IF(ROW()-1&lt;=$L$2+$M$2+$N$2+$O$2,IFERROR(INDEX(PROFORMA!$A:$K,ROW()-1-$L$2-$M$2-$N$2+1,9),""),"")))))</f>
        <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122</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t="str">
        <f>IF(ROW()-1&lt;=0,"",IF(ROW()-1&lt;=$L$2,IFERROR(INDEX(MCQ!$A:$K,ROW()-1+1,9),""),IF(ROW()-1&lt;=$L$2+$M$2,IFERROR(INDEX(CLOZE_AB!$A:$K,ROW()-1-$L$2+1,9),""),IF(ROW()-1&lt;=$L$2+$M$2+$N$2,IFERROR(INDEX(CLOZE_LIST!$A:$K,ROW()-1-$L$2-$M$2+1,9),""),IF(ROW()-1&lt;=$L$2+$M$2+$N$2+$O$2,IFERROR(INDEX(PROFORMA!$A:$K,ROW()-1-$L$2-$M$2-$N$2+1,9),""),"")))))</f>
        <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122</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t="str">
        <f>IF(ROW()-1&lt;=0,"",IF(ROW()-1&lt;=$L$2,IFERROR(INDEX(MCQ!$A:$K,ROW()-1+1,9),""),IF(ROW()-1&lt;=$L$2+$M$2,IFERROR(INDEX(CLOZE_AB!$A:$K,ROW()-1-$L$2+1,9),""),IF(ROW()-1&lt;=$L$2+$M$2+$N$2,IFERROR(INDEX(CLOZE_LIST!$A:$K,ROW()-1-$L$2-$M$2+1,9),""),IF(ROW()-1&lt;=$L$2+$M$2+$N$2+$O$2,IFERROR(INDEX(PROFORMA!$A:$K,ROW()-1-$L$2-$M$2-$N$2+1,9),""),"")))))</f>
        <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122</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t="str">
        <f>IF(ROW()-1&lt;=0,"",IF(ROW()-1&lt;=$L$2,IFERROR(INDEX(MCQ!$A:$K,ROW()-1+1,9),""),IF(ROW()-1&lt;=$L$2+$M$2,IFERROR(INDEX(CLOZE_AB!$A:$K,ROW()-1-$L$2+1,9),""),IF(ROW()-1&lt;=$L$2+$M$2+$N$2,IFERROR(INDEX(CLOZE_LIST!$A:$K,ROW()-1-$L$2-$M$2+1,9),""),IF(ROW()-1&lt;=$L$2+$M$2+$N$2+$O$2,IFERROR(INDEX(PROFORMA!$A:$K,ROW()-1-$L$2-$M$2-$N$2+1,9),""),"")))))</f>
        <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122</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t="str">
        <f>IF(ROW()-1&lt;=0,"",IF(ROW()-1&lt;=$L$2,IFERROR(INDEX(MCQ!$A:$K,ROW()-1+1,9),""),IF(ROW()-1&lt;=$L$2+$M$2,IFERROR(INDEX(CLOZE_AB!$A:$K,ROW()-1-$L$2+1,9),""),IF(ROW()-1&lt;=$L$2+$M$2+$N$2,IFERROR(INDEX(CLOZE_LIST!$A:$K,ROW()-1-$L$2-$M$2+1,9),""),IF(ROW()-1&lt;=$L$2+$M$2+$N$2+$O$2,IFERROR(INDEX(PROFORMA!$A:$K,ROW()-1-$L$2-$M$2-$N$2+1,9),""),"")))))</f>
        <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122</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t="str">
        <f>IF(ROW()-1&lt;=0,"",IF(ROW()-1&lt;=$L$2,IFERROR(INDEX(MCQ!$A:$K,ROW()-1+1,9),""),IF(ROW()-1&lt;=$L$2+$M$2,IFERROR(INDEX(CLOZE_AB!$A:$K,ROW()-1-$L$2+1,9),""),IF(ROW()-1&lt;=$L$2+$M$2+$N$2,IFERROR(INDEX(CLOZE_LIST!$A:$K,ROW()-1-$L$2-$M$2+1,9),""),IF(ROW()-1&lt;=$L$2+$M$2+$N$2+$O$2,IFERROR(INDEX(PROFORMA!$A:$K,ROW()-1-$L$2-$M$2-$N$2+1,9),""),"")))))</f>
        <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122</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t="str">
        <f>IF(ROW()-1&lt;=0,"",IF(ROW()-1&lt;=$L$2,IFERROR(INDEX(MCQ!$A:$K,ROW()-1+1,9),""),IF(ROW()-1&lt;=$L$2+$M$2,IFERROR(INDEX(CLOZE_AB!$A:$K,ROW()-1-$L$2+1,9),""),IF(ROW()-1&lt;=$L$2+$M$2+$N$2,IFERROR(INDEX(CLOZE_LIST!$A:$K,ROW()-1-$L$2-$M$2+1,9),""),IF(ROW()-1&lt;=$L$2+$M$2+$N$2+$O$2,IFERROR(INDEX(PROFORMA!$A:$K,ROW()-1-$L$2-$M$2-$N$2+1,9),""),"")))))</f>
        <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122</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t="str">
        <f>IF(ROW()-1&lt;=0,"",IF(ROW()-1&lt;=$L$2,IFERROR(INDEX(MCQ!$A:$K,ROW()-1+1,9),""),IF(ROW()-1&lt;=$L$2+$M$2,IFERROR(INDEX(CLOZE_AB!$A:$K,ROW()-1-$L$2+1,9),""),IF(ROW()-1&lt;=$L$2+$M$2+$N$2,IFERROR(INDEX(CLOZE_LIST!$A:$K,ROW()-1-$L$2-$M$2+1,9),""),IF(ROW()-1&lt;=$L$2+$M$2+$N$2+$O$2,IFERROR(INDEX(PROFORMA!$A:$K,ROW()-1-$L$2-$M$2-$N$2+1,9),""),"")))))</f>
        <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122</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t="str">
        <f>IF(ROW()-1&lt;=0,"",IF(ROW()-1&lt;=$L$2,IFERROR(INDEX(MCQ!$A:$K,ROW()-1+1,9),""),IF(ROW()-1&lt;=$L$2+$M$2,IFERROR(INDEX(CLOZE_AB!$A:$K,ROW()-1-$L$2+1,9),""),IF(ROW()-1&lt;=$L$2+$M$2+$N$2,IFERROR(INDEX(CLOZE_LIST!$A:$K,ROW()-1-$L$2-$M$2+1,9),""),IF(ROW()-1&lt;=$L$2+$M$2+$N$2+$O$2,IFERROR(INDEX(PROFORMA!$A:$K,ROW()-1-$L$2-$M$2-$N$2+1,9),""),"")))))</f>
        <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122</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t="str">
        <f>IF(ROW()-1&lt;=0,"",IF(ROW()-1&lt;=$L$2,IFERROR(INDEX(MCQ!$A:$K,ROW()-1+1,9),""),IF(ROW()-1&lt;=$L$2+$M$2,IFERROR(INDEX(CLOZE_AB!$A:$K,ROW()-1-$L$2+1,9),""),IF(ROW()-1&lt;=$L$2+$M$2+$N$2,IFERROR(INDEX(CLOZE_LIST!$A:$K,ROW()-1-$L$2-$M$2+1,9),""),IF(ROW()-1&lt;=$L$2+$M$2+$N$2+$O$2,IFERROR(INDEX(PROFORMA!$A:$K,ROW()-1-$L$2-$M$2-$N$2+1,9),""),"")))))</f>
        <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122</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t="str">
        <f>IF(ROW()-1&lt;=0,"",IF(ROW()-1&lt;=$L$2,IFERROR(INDEX(MCQ!$A:$K,ROW()-1+1,9),""),IF(ROW()-1&lt;=$L$2+$M$2,IFERROR(INDEX(CLOZE_AB!$A:$K,ROW()-1-$L$2+1,9),""),IF(ROW()-1&lt;=$L$2+$M$2+$N$2,IFERROR(INDEX(CLOZE_LIST!$A:$K,ROW()-1-$L$2-$M$2+1,9),""),IF(ROW()-1&lt;=$L$2+$M$2+$N$2+$O$2,IFERROR(INDEX(PROFORMA!$A:$K,ROW()-1-$L$2-$M$2-$N$2+1,9),""),"")))))</f>
        <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122</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t="str">
        <f>IF(ROW()-1&lt;=0,"",IF(ROW()-1&lt;=$L$2,IFERROR(INDEX(MCQ!$A:$K,ROW()-1+1,9),""),IF(ROW()-1&lt;=$L$2+$M$2,IFERROR(INDEX(CLOZE_AB!$A:$K,ROW()-1-$L$2+1,9),""),IF(ROW()-1&lt;=$L$2+$M$2+$N$2,IFERROR(INDEX(CLOZE_LIST!$A:$K,ROW()-1-$L$2-$M$2+1,9),""),IF(ROW()-1&lt;=$L$2+$M$2+$N$2+$O$2,IFERROR(INDEX(PROFORMA!$A:$K,ROW()-1-$L$2-$M$2-$N$2+1,9),""),"")))))</f>
        <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122</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t="str">
        <f>IF(ROW()-1&lt;=0,"",IF(ROW()-1&lt;=$L$2,IFERROR(INDEX(MCQ!$A:$K,ROW()-1+1,9),""),IF(ROW()-1&lt;=$L$2+$M$2,IFERROR(INDEX(CLOZE_AB!$A:$K,ROW()-1-$L$2+1,9),""),IF(ROW()-1&lt;=$L$2+$M$2+$N$2,IFERROR(INDEX(CLOZE_LIST!$A:$K,ROW()-1-$L$2-$M$2+1,9),""),IF(ROW()-1&lt;=$L$2+$M$2+$N$2+$O$2,IFERROR(INDEX(PROFORMA!$A:$K,ROW()-1-$L$2-$M$2-$N$2+1,9),""),"")))))</f>
        <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122</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t="str">
        <f>IF(ROW()-1&lt;=0,"",IF(ROW()-1&lt;=$L$2,IFERROR(INDEX(MCQ!$A:$K,ROW()-1+1,9),""),IF(ROW()-1&lt;=$L$2+$M$2,IFERROR(INDEX(CLOZE_AB!$A:$K,ROW()-1-$L$2+1,9),""),IF(ROW()-1&lt;=$L$2+$M$2+$N$2,IFERROR(INDEX(CLOZE_LIST!$A:$K,ROW()-1-$L$2-$M$2+1,9),""),IF(ROW()-1&lt;=$L$2+$M$2+$N$2+$O$2,IFERROR(INDEX(PROFORMA!$A:$K,ROW()-1-$L$2-$M$2-$N$2+1,9),""),"")))))</f>
        <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122</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t="str">
        <f>IF(ROW()-1&lt;=0,"",IF(ROW()-1&lt;=$L$2,IFERROR(INDEX(MCQ!$A:$K,ROW()-1+1,9),""),IF(ROW()-1&lt;=$L$2+$M$2,IFERROR(INDEX(CLOZE_AB!$A:$K,ROW()-1-$L$2+1,9),""),IF(ROW()-1&lt;=$L$2+$M$2+$N$2,IFERROR(INDEX(CLOZE_LIST!$A:$K,ROW()-1-$L$2-$M$2+1,9),""),IF(ROW()-1&lt;=$L$2+$M$2+$N$2+$O$2,IFERROR(INDEX(PROFORMA!$A:$K,ROW()-1-$L$2-$M$2-$N$2+1,9),""),"")))))</f>
        <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122</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t="str">
        <f>IF(ROW()-1&lt;=0,"",IF(ROW()-1&lt;=$L$2,IFERROR(INDEX(MCQ!$A:$K,ROW()-1+1,9),""),IF(ROW()-1&lt;=$L$2+$M$2,IFERROR(INDEX(CLOZE_AB!$A:$K,ROW()-1-$L$2+1,9),""),IF(ROW()-1&lt;=$L$2+$M$2+$N$2,IFERROR(INDEX(CLOZE_LIST!$A:$K,ROW()-1-$L$2-$M$2+1,9),""),IF(ROW()-1&lt;=$L$2+$M$2+$N$2+$O$2,IFERROR(INDEX(PROFORMA!$A:$K,ROW()-1-$L$2-$M$2-$N$2+1,9),""),"")))))</f>
        <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122</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t="str">
        <f>IF(ROW()-1&lt;=0,"",IF(ROW()-1&lt;=$L$2,IFERROR(INDEX(MCQ!$A:$K,ROW()-1+1,9),""),IF(ROW()-1&lt;=$L$2+$M$2,IFERROR(INDEX(CLOZE_AB!$A:$K,ROW()-1-$L$2+1,9),""),IF(ROW()-1&lt;=$L$2+$M$2+$N$2,IFERROR(INDEX(CLOZE_LIST!$A:$K,ROW()-1-$L$2-$M$2+1,9),""),IF(ROW()-1&lt;=$L$2+$M$2+$N$2+$O$2,IFERROR(INDEX(PROFORMA!$A:$K,ROW()-1-$L$2-$M$2-$N$2+1,9),""),"")))))</f>
        <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122</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t="str">
        <f>IF(ROW()-1&lt;=0,"",IF(ROW()-1&lt;=$L$2,IFERROR(INDEX(MCQ!$A:$K,ROW()-1+1,9),""),IF(ROW()-1&lt;=$L$2+$M$2,IFERROR(INDEX(CLOZE_AB!$A:$K,ROW()-1-$L$2+1,9),""),IF(ROW()-1&lt;=$L$2+$M$2+$N$2,IFERROR(INDEX(CLOZE_LIST!$A:$K,ROW()-1-$L$2-$M$2+1,9),""),IF(ROW()-1&lt;=$L$2+$M$2+$N$2+$O$2,IFERROR(INDEX(PROFORMA!$A:$K,ROW()-1-$L$2-$M$2-$N$2+1,9),""),"")))))</f>
        <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122</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t="str">
        <f>IF(ROW()-1&lt;=0,"",IF(ROW()-1&lt;=$L$2,IFERROR(INDEX(MCQ!$A:$K,ROW()-1+1,9),""),IF(ROW()-1&lt;=$L$2+$M$2,IFERROR(INDEX(CLOZE_AB!$A:$K,ROW()-1-$L$2+1,9),""),IF(ROW()-1&lt;=$L$2+$M$2+$N$2,IFERROR(INDEX(CLOZE_LIST!$A:$K,ROW()-1-$L$2-$M$2+1,9),""),IF(ROW()-1&lt;=$L$2+$M$2+$N$2+$O$2,IFERROR(INDEX(PROFORMA!$A:$K,ROW()-1-$L$2-$M$2-$N$2+1,9),""),"")))))</f>
        <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122</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t="str">
        <f>IF(ROW()-1&lt;=0,"",IF(ROW()-1&lt;=$L$2,IFERROR(INDEX(MCQ!$A:$K,ROW()-1+1,9),""),IF(ROW()-1&lt;=$L$2+$M$2,IFERROR(INDEX(CLOZE_AB!$A:$K,ROW()-1-$L$2+1,9),""),IF(ROW()-1&lt;=$L$2+$M$2+$N$2,IFERROR(INDEX(CLOZE_LIST!$A:$K,ROW()-1-$L$2-$M$2+1,9),""),IF(ROW()-1&lt;=$L$2+$M$2+$N$2+$O$2,IFERROR(INDEX(PROFORMA!$A:$K,ROW()-1-$L$2-$M$2-$N$2+1,9),""),"")))))</f>
        <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122</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t="str">
        <f>IF(ROW()-1&lt;=0,"",IF(ROW()-1&lt;=$L$2,IFERROR(INDEX(MCQ!$A:$K,ROW()-1+1,9),""),IF(ROW()-1&lt;=$L$2+$M$2,IFERROR(INDEX(CLOZE_AB!$A:$K,ROW()-1-$L$2+1,9),""),IF(ROW()-1&lt;=$L$2+$M$2+$N$2,IFERROR(INDEX(CLOZE_LIST!$A:$K,ROW()-1-$L$2-$M$2+1,9),""),IF(ROW()-1&lt;=$L$2+$M$2+$N$2+$O$2,IFERROR(INDEX(PROFORMA!$A:$K,ROW()-1-$L$2-$M$2-$N$2+1,9),""),"")))))</f>
        <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122</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t="str">
        <f>IF(ROW()-1&lt;=0,"",IF(ROW()-1&lt;=$L$2,IFERROR(INDEX(MCQ!$A:$K,ROW()-1+1,9),""),IF(ROW()-1&lt;=$L$2+$M$2,IFERROR(INDEX(CLOZE_AB!$A:$K,ROW()-1-$L$2+1,9),""),IF(ROW()-1&lt;=$L$2+$M$2+$N$2,IFERROR(INDEX(CLOZE_LIST!$A:$K,ROW()-1-$L$2-$M$2+1,9),""),IF(ROW()-1&lt;=$L$2+$M$2+$N$2+$O$2,IFERROR(INDEX(PROFORMA!$A:$K,ROW()-1-$L$2-$M$2-$N$2+1,9),""),"")))))</f>
        <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122</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t="str">
        <f>IF(ROW()-1&lt;=0,"",IF(ROW()-1&lt;=$L$2,IFERROR(INDEX(MCQ!$A:$K,ROW()-1+1,9),""),IF(ROW()-1&lt;=$L$2+$M$2,IFERROR(INDEX(CLOZE_AB!$A:$K,ROW()-1-$L$2+1,9),""),IF(ROW()-1&lt;=$L$2+$M$2+$N$2,IFERROR(INDEX(CLOZE_LIST!$A:$K,ROW()-1-$L$2-$M$2+1,9),""),IF(ROW()-1&lt;=$L$2+$M$2+$N$2+$O$2,IFERROR(INDEX(PROFORMA!$A:$K,ROW()-1-$L$2-$M$2-$N$2+1,9),""),"")))))</f>
        <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122</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t="str">
        <f>IF(ROW()-1&lt;=0,"",IF(ROW()-1&lt;=$L$2,IFERROR(INDEX(MCQ!$A:$K,ROW()-1+1,9),""),IF(ROW()-1&lt;=$L$2+$M$2,IFERROR(INDEX(CLOZE_AB!$A:$K,ROW()-1-$L$2+1,9),""),IF(ROW()-1&lt;=$L$2+$M$2+$N$2,IFERROR(INDEX(CLOZE_LIST!$A:$K,ROW()-1-$L$2-$M$2+1,9),""),IF(ROW()-1&lt;=$L$2+$M$2+$N$2+$O$2,IFERROR(INDEX(PROFORMA!$A:$K,ROW()-1-$L$2-$M$2-$N$2+1,9),""),"")))))</f>
        <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122</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t="str">
        <f>IF(ROW()-1&lt;=0,"",IF(ROW()-1&lt;=$L$2,IFERROR(INDEX(MCQ!$A:$K,ROW()-1+1,9),""),IF(ROW()-1&lt;=$L$2+$M$2,IFERROR(INDEX(CLOZE_AB!$A:$K,ROW()-1-$L$2+1,9),""),IF(ROW()-1&lt;=$L$2+$M$2+$N$2,IFERROR(INDEX(CLOZE_LIST!$A:$K,ROW()-1-$L$2-$M$2+1,9),""),IF(ROW()-1&lt;=$L$2+$M$2+$N$2+$O$2,IFERROR(INDEX(PROFORMA!$A:$K,ROW()-1-$L$2-$M$2-$N$2+1,9),""),"")))))</f>
        <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122</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t="str">
        <f>IF(ROW()-1&lt;=0,"",IF(ROW()-1&lt;=$L$2,IFERROR(INDEX(MCQ!$A:$K,ROW()-1+1,9),""),IF(ROW()-1&lt;=$L$2+$M$2,IFERROR(INDEX(CLOZE_AB!$A:$K,ROW()-1-$L$2+1,9),""),IF(ROW()-1&lt;=$L$2+$M$2+$N$2,IFERROR(INDEX(CLOZE_LIST!$A:$K,ROW()-1-$L$2-$M$2+1,9),""),IF(ROW()-1&lt;=$L$2+$M$2+$N$2+$O$2,IFERROR(INDEX(PROFORMA!$A:$K,ROW()-1-$L$2-$M$2-$N$2+1,9),""),"")))))</f>
        <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122</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t="str">
        <f>IF(ROW()-1&lt;=0,"",IF(ROW()-1&lt;=$L$2,IFERROR(INDEX(MCQ!$A:$K,ROW()-1+1,9),""),IF(ROW()-1&lt;=$L$2+$M$2,IFERROR(INDEX(CLOZE_AB!$A:$K,ROW()-1-$L$2+1,9),""),IF(ROW()-1&lt;=$L$2+$M$2+$N$2,IFERROR(INDEX(CLOZE_LIST!$A:$K,ROW()-1-$L$2-$M$2+1,9),""),IF(ROW()-1&lt;=$L$2+$M$2+$N$2+$O$2,IFERROR(INDEX(PROFORMA!$A:$K,ROW()-1-$L$2-$M$2-$N$2+1,9),""),"")))))</f>
        <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122</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t="str">
        <f>IF(ROW()-1&lt;=0,"",IF(ROW()-1&lt;=$L$2,IFERROR(INDEX(MCQ!$A:$K,ROW()-1+1,9),""),IF(ROW()-1&lt;=$L$2+$M$2,IFERROR(INDEX(CLOZE_AB!$A:$K,ROW()-1-$L$2+1,9),""),IF(ROW()-1&lt;=$L$2+$M$2+$N$2,IFERROR(INDEX(CLOZE_LIST!$A:$K,ROW()-1-$L$2-$M$2+1,9),""),IF(ROW()-1&lt;=$L$2+$M$2+$N$2+$O$2,IFERROR(INDEX(PROFORMA!$A:$K,ROW()-1-$L$2-$M$2-$N$2+1,9),""),"")))))</f>
        <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122</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t="str">
        <f>IF(ROW()-1&lt;=0,"",IF(ROW()-1&lt;=$L$2,IFERROR(INDEX(MCQ!$A:$K,ROW()-1+1,9),""),IF(ROW()-1&lt;=$L$2+$M$2,IFERROR(INDEX(CLOZE_AB!$A:$K,ROW()-1-$L$2+1,9),""),IF(ROW()-1&lt;=$L$2+$M$2+$N$2,IFERROR(INDEX(CLOZE_LIST!$A:$K,ROW()-1-$L$2-$M$2+1,9),""),IF(ROW()-1&lt;=$L$2+$M$2+$N$2+$O$2,IFERROR(INDEX(PROFORMA!$A:$K,ROW()-1-$L$2-$M$2-$N$2+1,9),""),"")))))</f>
        <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122</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t="str">
        <f>IF(ROW()-1&lt;=0,"",IF(ROW()-1&lt;=$L$2,IFERROR(INDEX(MCQ!$A:$K,ROW()-1+1,9),""),IF(ROW()-1&lt;=$L$2+$M$2,IFERROR(INDEX(CLOZE_AB!$A:$K,ROW()-1-$L$2+1,9),""),IF(ROW()-1&lt;=$L$2+$M$2+$N$2,IFERROR(INDEX(CLOZE_LIST!$A:$K,ROW()-1-$L$2-$M$2+1,9),""),IF(ROW()-1&lt;=$L$2+$M$2+$N$2+$O$2,IFERROR(INDEX(PROFORMA!$A:$K,ROW()-1-$L$2-$M$2-$N$2+1,9),""),"")))))</f>
        <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122</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t="str">
        <f>IF(ROW()-1&lt;=0,"",IF(ROW()-1&lt;=$L$2,IFERROR(INDEX(MCQ!$A:$K,ROW()-1+1,9),""),IF(ROW()-1&lt;=$L$2+$M$2,IFERROR(INDEX(CLOZE_AB!$A:$K,ROW()-1-$L$2+1,9),""),IF(ROW()-1&lt;=$L$2+$M$2+$N$2,IFERROR(INDEX(CLOZE_LIST!$A:$K,ROW()-1-$L$2-$M$2+1,9),""),IF(ROW()-1&lt;=$L$2+$M$2+$N$2+$O$2,IFERROR(INDEX(PROFORMA!$A:$K,ROW()-1-$L$2-$M$2-$N$2+1,9),""),"")))))</f>
        <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122</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t="str">
        <f>IF(ROW()-1&lt;=0,"",IF(ROW()-1&lt;=$L$2,IFERROR(INDEX(MCQ!$A:$K,ROW()-1+1,9),""),IF(ROW()-1&lt;=$L$2+$M$2,IFERROR(INDEX(CLOZE_AB!$A:$K,ROW()-1-$L$2+1,9),""),IF(ROW()-1&lt;=$L$2+$M$2+$N$2,IFERROR(INDEX(CLOZE_LIST!$A:$K,ROW()-1-$L$2-$M$2+1,9),""),IF(ROW()-1&lt;=$L$2+$M$2+$N$2+$O$2,IFERROR(INDEX(PROFORMA!$A:$K,ROW()-1-$L$2-$M$2-$N$2+1,9),""),"")))))</f>
        <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122</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t="str">
        <f>IF(ROW()-1&lt;=0,"",IF(ROW()-1&lt;=$L$2,IFERROR(INDEX(MCQ!$A:$K,ROW()-1+1,9),""),IF(ROW()-1&lt;=$L$2+$M$2,IFERROR(INDEX(CLOZE_AB!$A:$K,ROW()-1-$L$2+1,9),""),IF(ROW()-1&lt;=$L$2+$M$2+$N$2,IFERROR(INDEX(CLOZE_LIST!$A:$K,ROW()-1-$L$2-$M$2+1,9),""),IF(ROW()-1&lt;=$L$2+$M$2+$N$2+$O$2,IFERROR(INDEX(PROFORMA!$A:$K,ROW()-1-$L$2-$M$2-$N$2+1,9),""),"")))))</f>
        <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122</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t="str">
        <f>IF(ROW()-1&lt;=0,"",IF(ROW()-1&lt;=$L$2,IFERROR(INDEX(MCQ!$A:$K,ROW()-1+1,9),""),IF(ROW()-1&lt;=$L$2+$M$2,IFERROR(INDEX(CLOZE_AB!$A:$K,ROW()-1-$L$2+1,9),""),IF(ROW()-1&lt;=$L$2+$M$2+$N$2,IFERROR(INDEX(CLOZE_LIST!$A:$K,ROW()-1-$L$2-$M$2+1,9),""),IF(ROW()-1&lt;=$L$2+$M$2+$N$2+$O$2,IFERROR(INDEX(PROFORMA!$A:$K,ROW()-1-$L$2-$M$2-$N$2+1,9),""),"")))))</f>
        <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122</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t="str">
        <f>IF(ROW()-1&lt;=0,"",IF(ROW()-1&lt;=$L$2,IFERROR(INDEX(MCQ!$A:$K,ROW()-1+1,9),""),IF(ROW()-1&lt;=$L$2+$M$2,IFERROR(INDEX(CLOZE_AB!$A:$K,ROW()-1-$L$2+1,9),""),IF(ROW()-1&lt;=$L$2+$M$2+$N$2,IFERROR(INDEX(CLOZE_LIST!$A:$K,ROW()-1-$L$2-$M$2+1,9),""),IF(ROW()-1&lt;=$L$2+$M$2+$N$2+$O$2,IFERROR(INDEX(PROFORMA!$A:$K,ROW()-1-$L$2-$M$2-$N$2+1,9),""),"")))))</f>
        <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122</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t="str">
        <f>IF(ROW()-1&lt;=0,"",IF(ROW()-1&lt;=$L$2,IFERROR(INDEX(MCQ!$A:$K,ROW()-1+1,9),""),IF(ROW()-1&lt;=$L$2+$M$2,IFERROR(INDEX(CLOZE_AB!$A:$K,ROW()-1-$L$2+1,9),""),IF(ROW()-1&lt;=$L$2+$M$2+$N$2,IFERROR(INDEX(CLOZE_LIST!$A:$K,ROW()-1-$L$2-$M$2+1,9),""),IF(ROW()-1&lt;=$L$2+$M$2+$N$2+$O$2,IFERROR(INDEX(PROFORMA!$A:$K,ROW()-1-$L$2-$M$2-$N$2+1,9),""),"")))))</f>
        <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122</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t="str">
        <f>IF(ROW()-1&lt;=0,"",IF(ROW()-1&lt;=$L$2,IFERROR(INDEX(MCQ!$A:$K,ROW()-1+1,9),""),IF(ROW()-1&lt;=$L$2+$M$2,IFERROR(INDEX(CLOZE_AB!$A:$K,ROW()-1-$L$2+1,9),""),IF(ROW()-1&lt;=$L$2+$M$2+$N$2,IFERROR(INDEX(CLOZE_LIST!$A:$K,ROW()-1-$L$2-$M$2+1,9),""),IF(ROW()-1&lt;=$L$2+$M$2+$N$2+$O$2,IFERROR(INDEX(PROFORMA!$A:$K,ROW()-1-$L$2-$M$2-$N$2+1,9),""),"")))))</f>
        <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122</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t="str">
        <f>IF(ROW()-1&lt;=0,"",IF(ROW()-1&lt;=$L$2,IFERROR(INDEX(MCQ!$A:$K,ROW()-1+1,9),""),IF(ROW()-1&lt;=$L$2+$M$2,IFERROR(INDEX(CLOZE_AB!$A:$K,ROW()-1-$L$2+1,9),""),IF(ROW()-1&lt;=$L$2+$M$2+$N$2,IFERROR(INDEX(CLOZE_LIST!$A:$K,ROW()-1-$L$2-$M$2+1,9),""),IF(ROW()-1&lt;=$L$2+$M$2+$N$2+$O$2,IFERROR(INDEX(PROFORMA!$A:$K,ROW()-1-$L$2-$M$2-$N$2+1,9),""),"")))))</f>
        <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122</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t="str">
        <f>IF(ROW()-1&lt;=0,"",IF(ROW()-1&lt;=$L$2,IFERROR(INDEX(MCQ!$A:$K,ROW()-1+1,9),""),IF(ROW()-1&lt;=$L$2+$M$2,IFERROR(INDEX(CLOZE_AB!$A:$K,ROW()-1-$L$2+1,9),""),IF(ROW()-1&lt;=$L$2+$M$2+$N$2,IFERROR(INDEX(CLOZE_LIST!$A:$K,ROW()-1-$L$2-$M$2+1,9),""),IF(ROW()-1&lt;=$L$2+$M$2+$N$2+$O$2,IFERROR(INDEX(PROFORMA!$A:$K,ROW()-1-$L$2-$M$2-$N$2+1,9),""),"")))))</f>
        <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122</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t="str">
        <f>IF(ROW()-1&lt;=0,"",IF(ROW()-1&lt;=$L$2,IFERROR(INDEX(MCQ!$A:$K,ROW()-1+1,9),""),IF(ROW()-1&lt;=$L$2+$M$2,IFERROR(INDEX(CLOZE_AB!$A:$K,ROW()-1-$L$2+1,9),""),IF(ROW()-1&lt;=$L$2+$M$2+$N$2,IFERROR(INDEX(CLOZE_LIST!$A:$K,ROW()-1-$L$2-$M$2+1,9),""),IF(ROW()-1&lt;=$L$2+$M$2+$N$2+$O$2,IFERROR(INDEX(PROFORMA!$A:$K,ROW()-1-$L$2-$M$2-$N$2+1,9),""),"")))))</f>
        <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122</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t="str">
        <f>IF(ROW()-1&lt;=0,"",IF(ROW()-1&lt;=$L$2,IFERROR(INDEX(MCQ!$A:$K,ROW()-1+1,9),""),IF(ROW()-1&lt;=$L$2+$M$2,IFERROR(INDEX(CLOZE_AB!$A:$K,ROW()-1-$L$2+1,9),""),IF(ROW()-1&lt;=$L$2+$M$2+$N$2,IFERROR(INDEX(CLOZE_LIST!$A:$K,ROW()-1-$L$2-$M$2+1,9),""),IF(ROW()-1&lt;=$L$2+$M$2+$N$2+$O$2,IFERROR(INDEX(PROFORMA!$A:$K,ROW()-1-$L$2-$M$2-$N$2+1,9),""),"")))))</f>
        <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122</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t="str">
        <f>IF(ROW()-1&lt;=0,"",IF(ROW()-1&lt;=$L$2,IFERROR(INDEX(MCQ!$A:$K,ROW()-1+1,9),""),IF(ROW()-1&lt;=$L$2+$M$2,IFERROR(INDEX(CLOZE_AB!$A:$K,ROW()-1-$L$2+1,9),""),IF(ROW()-1&lt;=$L$2+$M$2+$N$2,IFERROR(INDEX(CLOZE_LIST!$A:$K,ROW()-1-$L$2-$M$2+1,9),""),IF(ROW()-1&lt;=$L$2+$M$2+$N$2+$O$2,IFERROR(INDEX(PROFORMA!$A:$K,ROW()-1-$L$2-$M$2-$N$2+1,9),""),"")))))</f>
        <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122</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t="str">
        <f>IF(ROW()-1&lt;=0,"",IF(ROW()-1&lt;=$L$2,IFERROR(INDEX(MCQ!$A:$K,ROW()-1+1,9),""),IF(ROW()-1&lt;=$L$2+$M$2,IFERROR(INDEX(CLOZE_AB!$A:$K,ROW()-1-$L$2+1,9),""),IF(ROW()-1&lt;=$L$2+$M$2+$N$2,IFERROR(INDEX(CLOZE_LIST!$A:$K,ROW()-1-$L$2-$M$2+1,9),""),IF(ROW()-1&lt;=$L$2+$M$2+$N$2+$O$2,IFERROR(INDEX(PROFORMA!$A:$K,ROW()-1-$L$2-$M$2-$N$2+1,9),""),"")))))</f>
        <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122</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t="str">
        <f>IF(ROW()-1&lt;=0,"",IF(ROW()-1&lt;=$L$2,IFERROR(INDEX(MCQ!$A:$K,ROW()-1+1,9),""),IF(ROW()-1&lt;=$L$2+$M$2,IFERROR(INDEX(CLOZE_AB!$A:$K,ROW()-1-$L$2+1,9),""),IF(ROW()-1&lt;=$L$2+$M$2+$N$2,IFERROR(INDEX(CLOZE_LIST!$A:$K,ROW()-1-$L$2-$M$2+1,9),""),IF(ROW()-1&lt;=$L$2+$M$2+$N$2+$O$2,IFERROR(INDEX(PROFORMA!$A:$K,ROW()-1-$L$2-$M$2-$N$2+1,9),""),"")))))</f>
        <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122</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t="str">
        <f>IF(ROW()-1&lt;=0,"",IF(ROW()-1&lt;=$L$2,IFERROR(INDEX(MCQ!$A:$K,ROW()-1+1,9),""),IF(ROW()-1&lt;=$L$2+$M$2,IFERROR(INDEX(CLOZE_AB!$A:$K,ROW()-1-$L$2+1,9),""),IF(ROW()-1&lt;=$L$2+$M$2+$N$2,IFERROR(INDEX(CLOZE_LIST!$A:$K,ROW()-1-$L$2-$M$2+1,9),""),IF(ROW()-1&lt;=$L$2+$M$2+$N$2+$O$2,IFERROR(INDEX(PROFORMA!$A:$K,ROW()-1-$L$2-$M$2-$N$2+1,9),""),"")))))</f>
        <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122</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t="str">
        <f>IF(ROW()-1&lt;=0,"",IF(ROW()-1&lt;=$L$2,IFERROR(INDEX(MCQ!$A:$K,ROW()-1+1,9),""),IF(ROW()-1&lt;=$L$2+$M$2,IFERROR(INDEX(CLOZE_AB!$A:$K,ROW()-1-$L$2+1,9),""),IF(ROW()-1&lt;=$L$2+$M$2+$N$2,IFERROR(INDEX(CLOZE_LIST!$A:$K,ROW()-1-$L$2-$M$2+1,9),""),IF(ROW()-1&lt;=$L$2+$M$2+$N$2+$O$2,IFERROR(INDEX(PROFORMA!$A:$K,ROW()-1-$L$2-$M$2-$N$2+1,9),""),"")))))</f>
        <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122</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t="str">
        <f>IF(ROW()-1&lt;=0,"",IF(ROW()-1&lt;=$L$2,IFERROR(INDEX(MCQ!$A:$K,ROW()-1+1,9),""),IF(ROW()-1&lt;=$L$2+$M$2,IFERROR(INDEX(CLOZE_AB!$A:$K,ROW()-1-$L$2+1,9),""),IF(ROW()-1&lt;=$L$2+$M$2+$N$2,IFERROR(INDEX(CLOZE_LIST!$A:$K,ROW()-1-$L$2-$M$2+1,9),""),IF(ROW()-1&lt;=$L$2+$M$2+$N$2+$O$2,IFERROR(INDEX(PROFORMA!$A:$K,ROW()-1-$L$2-$M$2-$N$2+1,9),""),"")))))</f>
        <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122</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t="str">
        <f>IF(ROW()-1&lt;=0,"",IF(ROW()-1&lt;=$L$2,IFERROR(INDEX(MCQ!$A:$K,ROW()-1+1,9),""),IF(ROW()-1&lt;=$L$2+$M$2,IFERROR(INDEX(CLOZE_AB!$A:$K,ROW()-1-$L$2+1,9),""),IF(ROW()-1&lt;=$L$2+$M$2+$N$2,IFERROR(INDEX(CLOZE_LIST!$A:$K,ROW()-1-$L$2-$M$2+1,9),""),IF(ROW()-1&lt;=$L$2+$M$2+$N$2+$O$2,IFERROR(INDEX(PROFORMA!$A:$K,ROW()-1-$L$2-$M$2-$N$2+1,9),""),"")))))</f>
        <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122</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t="str">
        <f>IF(ROW()-1&lt;=0,"",IF(ROW()-1&lt;=$L$2,IFERROR(INDEX(MCQ!$A:$K,ROW()-1+1,9),""),IF(ROW()-1&lt;=$L$2+$M$2,IFERROR(INDEX(CLOZE_AB!$A:$K,ROW()-1-$L$2+1,9),""),IF(ROW()-1&lt;=$L$2+$M$2+$N$2,IFERROR(INDEX(CLOZE_LIST!$A:$K,ROW()-1-$L$2-$M$2+1,9),""),IF(ROW()-1&lt;=$L$2+$M$2+$N$2+$O$2,IFERROR(INDEX(PROFORMA!$A:$K,ROW()-1-$L$2-$M$2-$N$2+1,9),""),"")))))</f>
        <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122</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t="str">
        <f>IF(ROW()-1&lt;=0,"",IF(ROW()-1&lt;=$L$2,IFERROR(INDEX(MCQ!$A:$K,ROW()-1+1,9),""),IF(ROW()-1&lt;=$L$2+$M$2,IFERROR(INDEX(CLOZE_AB!$A:$K,ROW()-1-$L$2+1,9),""),IF(ROW()-1&lt;=$L$2+$M$2+$N$2,IFERROR(INDEX(CLOZE_LIST!$A:$K,ROW()-1-$L$2-$M$2+1,9),""),IF(ROW()-1&lt;=$L$2+$M$2+$N$2+$O$2,IFERROR(INDEX(PROFORMA!$A:$K,ROW()-1-$L$2-$M$2-$N$2+1,9),""),"")))))</f>
        <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122</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t="str">
        <f>IF(ROW()-1&lt;=0,"",IF(ROW()-1&lt;=$L$2,IFERROR(INDEX(MCQ!$A:$K,ROW()-1+1,9),""),IF(ROW()-1&lt;=$L$2+$M$2,IFERROR(INDEX(CLOZE_AB!$A:$K,ROW()-1-$L$2+1,9),""),IF(ROW()-1&lt;=$L$2+$M$2+$N$2,IFERROR(INDEX(CLOZE_LIST!$A:$K,ROW()-1-$L$2-$M$2+1,9),""),IF(ROW()-1&lt;=$L$2+$M$2+$N$2+$O$2,IFERROR(INDEX(PROFORMA!$A:$K,ROW()-1-$L$2-$M$2-$N$2+1,9),""),"")))))</f>
        <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122</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t="str">
        <f>IF(ROW()-1&lt;=0,"",IF(ROW()-1&lt;=$L$2,IFERROR(INDEX(MCQ!$A:$K,ROW()-1+1,9),""),IF(ROW()-1&lt;=$L$2+$M$2,IFERROR(INDEX(CLOZE_AB!$A:$K,ROW()-1-$L$2+1,9),""),IF(ROW()-1&lt;=$L$2+$M$2+$N$2,IFERROR(INDEX(CLOZE_LIST!$A:$K,ROW()-1-$L$2-$M$2+1,9),""),IF(ROW()-1&lt;=$L$2+$M$2+$N$2+$O$2,IFERROR(INDEX(PROFORMA!$A:$K,ROW()-1-$L$2-$M$2-$N$2+1,9),""),"")))))</f>
        <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122</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t="str">
        <f>IF(ROW()-1&lt;=0,"",IF(ROW()-1&lt;=$L$2,IFERROR(INDEX(MCQ!$A:$K,ROW()-1+1,9),""),IF(ROW()-1&lt;=$L$2+$M$2,IFERROR(INDEX(CLOZE_AB!$A:$K,ROW()-1-$L$2+1,9),""),IF(ROW()-1&lt;=$L$2+$M$2+$N$2,IFERROR(INDEX(CLOZE_LIST!$A:$K,ROW()-1-$L$2-$M$2+1,9),""),IF(ROW()-1&lt;=$L$2+$M$2+$N$2+$O$2,IFERROR(INDEX(PROFORMA!$A:$K,ROW()-1-$L$2-$M$2-$N$2+1,9),""),"")))))</f>
        <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122</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t="str">
        <f>IF(ROW()-1&lt;=0,"",IF(ROW()-1&lt;=$L$2,IFERROR(INDEX(MCQ!$A:$K,ROW()-1+1,9),""),IF(ROW()-1&lt;=$L$2+$M$2,IFERROR(INDEX(CLOZE_AB!$A:$K,ROW()-1-$L$2+1,9),""),IF(ROW()-1&lt;=$L$2+$M$2+$N$2,IFERROR(INDEX(CLOZE_LIST!$A:$K,ROW()-1-$L$2-$M$2+1,9),""),IF(ROW()-1&lt;=$L$2+$M$2+$N$2+$O$2,IFERROR(INDEX(PROFORMA!$A:$K,ROW()-1-$L$2-$M$2-$N$2+1,9),""),"")))))</f>
        <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122</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t="str">
        <f>IF(ROW()-1&lt;=0,"",IF(ROW()-1&lt;=$L$2,IFERROR(INDEX(MCQ!$A:$K,ROW()-1+1,9),""),IF(ROW()-1&lt;=$L$2+$M$2,IFERROR(INDEX(CLOZE_AB!$A:$K,ROW()-1-$L$2+1,9),""),IF(ROW()-1&lt;=$L$2+$M$2+$N$2,IFERROR(INDEX(CLOZE_LIST!$A:$K,ROW()-1-$L$2-$M$2+1,9),""),IF(ROW()-1&lt;=$L$2+$M$2+$N$2+$O$2,IFERROR(INDEX(PROFORMA!$A:$K,ROW()-1-$L$2-$M$2-$N$2+1,9),""),"")))))</f>
        <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122</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t="str">
        <f>IF(ROW()-1&lt;=0,"",IF(ROW()-1&lt;=$L$2,IFERROR(INDEX(MCQ!$A:$K,ROW()-1+1,9),""),IF(ROW()-1&lt;=$L$2+$M$2,IFERROR(INDEX(CLOZE_AB!$A:$K,ROW()-1-$L$2+1,9),""),IF(ROW()-1&lt;=$L$2+$M$2+$N$2,IFERROR(INDEX(CLOZE_LIST!$A:$K,ROW()-1-$L$2-$M$2+1,9),""),IF(ROW()-1&lt;=$L$2+$M$2+$N$2+$O$2,IFERROR(INDEX(PROFORMA!$A:$K,ROW()-1-$L$2-$M$2-$N$2+1,9),""),"")))))</f>
        <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122</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t="str">
        <f>IF(ROW()-1&lt;=0,"",IF(ROW()-1&lt;=$L$2,IFERROR(INDEX(MCQ!$A:$K,ROW()-1+1,9),""),IF(ROW()-1&lt;=$L$2+$M$2,IFERROR(INDEX(CLOZE_AB!$A:$K,ROW()-1-$L$2+1,9),""),IF(ROW()-1&lt;=$L$2+$M$2+$N$2,IFERROR(INDEX(CLOZE_LIST!$A:$K,ROW()-1-$L$2-$M$2+1,9),""),IF(ROW()-1&lt;=$L$2+$M$2+$N$2+$O$2,IFERROR(INDEX(PROFORMA!$A:$K,ROW()-1-$L$2-$M$2-$N$2+1,9),""),"")))))</f>
        <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122</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t="str">
        <f>IF(ROW()-1&lt;=0,"",IF(ROW()-1&lt;=$L$2,IFERROR(INDEX(MCQ!$A:$K,ROW()-1+1,9),""),IF(ROW()-1&lt;=$L$2+$M$2,IFERROR(INDEX(CLOZE_AB!$A:$K,ROW()-1-$L$2+1,9),""),IF(ROW()-1&lt;=$L$2+$M$2+$N$2,IFERROR(INDEX(CLOZE_LIST!$A:$K,ROW()-1-$L$2-$M$2+1,9),""),IF(ROW()-1&lt;=$L$2+$M$2+$N$2+$O$2,IFERROR(INDEX(PROFORMA!$A:$K,ROW()-1-$L$2-$M$2-$N$2+1,9),""),"")))))</f>
        <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122</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t="str">
        <f>IF(ROW()-1&lt;=0,"",IF(ROW()-1&lt;=$L$2,IFERROR(INDEX(MCQ!$A:$K,ROW()-1+1,9),""),IF(ROW()-1&lt;=$L$2+$M$2,IFERROR(INDEX(CLOZE_AB!$A:$K,ROW()-1-$L$2+1,9),""),IF(ROW()-1&lt;=$L$2+$M$2+$N$2,IFERROR(INDEX(CLOZE_LIST!$A:$K,ROW()-1-$L$2-$M$2+1,9),""),IF(ROW()-1&lt;=$L$2+$M$2+$N$2+$O$2,IFERROR(INDEX(PROFORMA!$A:$K,ROW()-1-$L$2-$M$2-$N$2+1,9),""),"")))))</f>
        <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122</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t="str">
        <f>IF(ROW()-1&lt;=0,"",IF(ROW()-1&lt;=$L$2,IFERROR(INDEX(MCQ!$A:$K,ROW()-1+1,9),""),IF(ROW()-1&lt;=$L$2+$M$2,IFERROR(INDEX(CLOZE_AB!$A:$K,ROW()-1-$L$2+1,9),""),IF(ROW()-1&lt;=$L$2+$M$2+$N$2,IFERROR(INDEX(CLOZE_LIST!$A:$K,ROW()-1-$L$2-$M$2+1,9),""),IF(ROW()-1&lt;=$L$2+$M$2+$N$2+$O$2,IFERROR(INDEX(PROFORMA!$A:$K,ROW()-1-$L$2-$M$2-$N$2+1,9),""),"")))))</f>
        <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122</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t="str">
        <f>IF(ROW()-1&lt;=0,"",IF(ROW()-1&lt;=$L$2,IFERROR(INDEX(MCQ!$A:$K,ROW()-1+1,9),""),IF(ROW()-1&lt;=$L$2+$M$2,IFERROR(INDEX(CLOZE_AB!$A:$K,ROW()-1-$L$2+1,9),""),IF(ROW()-1&lt;=$L$2+$M$2+$N$2,IFERROR(INDEX(CLOZE_LIST!$A:$K,ROW()-1-$L$2-$M$2+1,9),""),IF(ROW()-1&lt;=$L$2+$M$2+$N$2+$O$2,IFERROR(INDEX(PROFORMA!$A:$K,ROW()-1-$L$2-$M$2-$N$2+1,9),""),"")))))</f>
        <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122</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t="str">
        <f>IF(ROW()-1&lt;=0,"",IF(ROW()-1&lt;=$L$2,IFERROR(INDEX(MCQ!$A:$K,ROW()-1+1,9),""),IF(ROW()-1&lt;=$L$2+$M$2,IFERROR(INDEX(CLOZE_AB!$A:$K,ROW()-1-$L$2+1,9),""),IF(ROW()-1&lt;=$L$2+$M$2+$N$2,IFERROR(INDEX(CLOZE_LIST!$A:$K,ROW()-1-$L$2-$M$2+1,9),""),IF(ROW()-1&lt;=$L$2+$M$2+$N$2+$O$2,IFERROR(INDEX(PROFORMA!$A:$K,ROW()-1-$L$2-$M$2-$N$2+1,9),""),"")))))</f>
        <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122</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t="str">
        <f>IF(ROW()-1&lt;=0,"",IF(ROW()-1&lt;=$L$2,IFERROR(INDEX(MCQ!$A:$K,ROW()-1+1,9),""),IF(ROW()-1&lt;=$L$2+$M$2,IFERROR(INDEX(CLOZE_AB!$A:$K,ROW()-1-$L$2+1,9),""),IF(ROW()-1&lt;=$L$2+$M$2+$N$2,IFERROR(INDEX(CLOZE_LIST!$A:$K,ROW()-1-$L$2-$M$2+1,9),""),IF(ROW()-1&lt;=$L$2+$M$2+$N$2+$O$2,IFERROR(INDEX(PROFORMA!$A:$K,ROW()-1-$L$2-$M$2-$N$2+1,9),""),"")))))</f>
        <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122</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t="str">
        <f>IF(ROW()-1&lt;=0,"",IF(ROW()-1&lt;=$L$2,IFERROR(INDEX(MCQ!$A:$K,ROW()-1+1,9),""),IF(ROW()-1&lt;=$L$2+$M$2,IFERROR(INDEX(CLOZE_AB!$A:$K,ROW()-1-$L$2+1,9),""),IF(ROW()-1&lt;=$L$2+$M$2+$N$2,IFERROR(INDEX(CLOZE_LIST!$A:$K,ROW()-1-$L$2-$M$2+1,9),""),IF(ROW()-1&lt;=$L$2+$M$2+$N$2+$O$2,IFERROR(INDEX(PROFORMA!$A:$K,ROW()-1-$L$2-$M$2-$N$2+1,9),""),"")))))</f>
        <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122</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t="str">
        <f>IF(ROW()-1&lt;=0,"",IF(ROW()-1&lt;=$L$2,IFERROR(INDEX(MCQ!$A:$K,ROW()-1+1,9),""),IF(ROW()-1&lt;=$L$2+$M$2,IFERROR(INDEX(CLOZE_AB!$A:$K,ROW()-1-$L$2+1,9),""),IF(ROW()-1&lt;=$L$2+$M$2+$N$2,IFERROR(INDEX(CLOZE_LIST!$A:$K,ROW()-1-$L$2-$M$2+1,9),""),IF(ROW()-1&lt;=$L$2+$M$2+$N$2+$O$2,IFERROR(INDEX(PROFORMA!$A:$K,ROW()-1-$L$2-$M$2-$N$2+1,9),""),"")))))</f>
        <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122</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t="str">
        <f>IF(ROW()-1&lt;=0,"",IF(ROW()-1&lt;=$L$2,IFERROR(INDEX(MCQ!$A:$K,ROW()-1+1,9),""),IF(ROW()-1&lt;=$L$2+$M$2,IFERROR(INDEX(CLOZE_AB!$A:$K,ROW()-1-$L$2+1,9),""),IF(ROW()-1&lt;=$L$2+$M$2+$N$2,IFERROR(INDEX(CLOZE_LIST!$A:$K,ROW()-1-$L$2-$M$2+1,9),""),IF(ROW()-1&lt;=$L$2+$M$2+$N$2+$O$2,IFERROR(INDEX(PROFORMA!$A:$K,ROW()-1-$L$2-$M$2-$N$2+1,9),""),"")))))</f>
        <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122</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t="str">
        <f>IF(ROW()-1&lt;=0,"",IF(ROW()-1&lt;=$L$2,IFERROR(INDEX(MCQ!$A:$K,ROW()-1+1,9),""),IF(ROW()-1&lt;=$L$2+$M$2,IFERROR(INDEX(CLOZE_AB!$A:$K,ROW()-1-$L$2+1,9),""),IF(ROW()-1&lt;=$L$2+$M$2+$N$2,IFERROR(INDEX(CLOZE_LIST!$A:$K,ROW()-1-$L$2-$M$2+1,9),""),IF(ROW()-1&lt;=$L$2+$M$2+$N$2+$O$2,IFERROR(INDEX(PROFORMA!$A:$K,ROW()-1-$L$2-$M$2-$N$2+1,9),""),"")))))</f>
        <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122</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t="str">
        <f>IF(ROW()-1&lt;=0,"",IF(ROW()-1&lt;=$L$2,IFERROR(INDEX(MCQ!$A:$K,ROW()-1+1,9),""),IF(ROW()-1&lt;=$L$2+$M$2,IFERROR(INDEX(CLOZE_AB!$A:$K,ROW()-1-$L$2+1,9),""),IF(ROW()-1&lt;=$L$2+$M$2+$N$2,IFERROR(INDEX(CLOZE_LIST!$A:$K,ROW()-1-$L$2-$M$2+1,9),""),IF(ROW()-1&lt;=$L$2+$M$2+$N$2+$O$2,IFERROR(INDEX(PROFORMA!$A:$K,ROW()-1-$L$2-$M$2-$N$2+1,9),""),"")))))</f>
        <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122</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t="str">
        <f>IF(ROW()-1&lt;=0,"",IF(ROW()-1&lt;=$L$2,IFERROR(INDEX(MCQ!$A:$K,ROW()-1+1,9),""),IF(ROW()-1&lt;=$L$2+$M$2,IFERROR(INDEX(CLOZE_AB!$A:$K,ROW()-1-$L$2+1,9),""),IF(ROW()-1&lt;=$L$2+$M$2+$N$2,IFERROR(INDEX(CLOZE_LIST!$A:$K,ROW()-1-$L$2-$M$2+1,9),""),IF(ROW()-1&lt;=$L$2+$M$2+$N$2+$O$2,IFERROR(INDEX(PROFORMA!$A:$K,ROW()-1-$L$2-$M$2-$N$2+1,9),""),"")))))</f>
        <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122</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t="str">
        <f>IF(ROW()-1&lt;=0,"",IF(ROW()-1&lt;=$L$2,IFERROR(INDEX(MCQ!$A:$K,ROW()-1+1,9),""),IF(ROW()-1&lt;=$L$2+$M$2,IFERROR(INDEX(CLOZE_AB!$A:$K,ROW()-1-$L$2+1,9),""),IF(ROW()-1&lt;=$L$2+$M$2+$N$2,IFERROR(INDEX(CLOZE_LIST!$A:$K,ROW()-1-$L$2-$M$2+1,9),""),IF(ROW()-1&lt;=$L$2+$M$2+$N$2+$O$2,IFERROR(INDEX(PROFORMA!$A:$K,ROW()-1-$L$2-$M$2-$N$2+1,9),""),"")))))</f>
        <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122</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t="str">
        <f>IF(ROW()-1&lt;=0,"",IF(ROW()-1&lt;=$L$2,IFERROR(INDEX(MCQ!$A:$K,ROW()-1+1,9),""),IF(ROW()-1&lt;=$L$2+$M$2,IFERROR(INDEX(CLOZE_AB!$A:$K,ROW()-1-$L$2+1,9),""),IF(ROW()-1&lt;=$L$2+$M$2+$N$2,IFERROR(INDEX(CLOZE_LIST!$A:$K,ROW()-1-$L$2-$M$2+1,9),""),IF(ROW()-1&lt;=$L$2+$M$2+$N$2+$O$2,IFERROR(INDEX(PROFORMA!$A:$K,ROW()-1-$L$2-$M$2-$N$2+1,9),""),"")))))</f>
        <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122</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t="str">
        <f>IF(ROW()-1&lt;=0,"",IF(ROW()-1&lt;=$L$2,IFERROR(INDEX(MCQ!$A:$K,ROW()-1+1,9),""),IF(ROW()-1&lt;=$L$2+$M$2,IFERROR(INDEX(CLOZE_AB!$A:$K,ROW()-1-$L$2+1,9),""),IF(ROW()-1&lt;=$L$2+$M$2+$N$2,IFERROR(INDEX(CLOZE_LIST!$A:$K,ROW()-1-$L$2-$M$2+1,9),""),IF(ROW()-1&lt;=$L$2+$M$2+$N$2+$O$2,IFERROR(INDEX(PROFORMA!$A:$K,ROW()-1-$L$2-$M$2-$N$2+1,9),""),"")))))</f>
        <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122</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t="str">
        <f>IF(ROW()-1&lt;=0,"",IF(ROW()-1&lt;=$L$2,IFERROR(INDEX(MCQ!$A:$K,ROW()-1+1,9),""),IF(ROW()-1&lt;=$L$2+$M$2,IFERROR(INDEX(CLOZE_AB!$A:$K,ROW()-1-$L$2+1,9),""),IF(ROW()-1&lt;=$L$2+$M$2+$N$2,IFERROR(INDEX(CLOZE_LIST!$A:$K,ROW()-1-$L$2-$M$2+1,9),""),IF(ROW()-1&lt;=$L$2+$M$2+$N$2+$O$2,IFERROR(INDEX(PROFORMA!$A:$K,ROW()-1-$L$2-$M$2-$N$2+1,9),""),"")))))</f>
        <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122</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PF_ETH_PF__001</v>
      </c>
      <c r="B491" s="3" t="str">
        <f>IF(ROW()-1&lt;=0,"",IF(ROW()-1&lt;=$L$2,IFERROR(INDEX(MCQ!$A:$K,ROW()-1+1,2),""),IF(ROW()-1&lt;=$L$2+$M$2,IFERROR(INDEX(CLOZE_AB!$A:$K,ROW()-1-$L$2+1,2),""),IF(ROW()-1&lt;=$L$2+$M$2+$N$2,IFERROR(INDEX(CLOZE_LIST!$A:$K,ROW()-1-$L$2-$M$2+1,2),""),IF(ROW()-1&lt;=$L$2+$M$2+$N$2+$O$2,IFERROR(INDEX(PROFORMA!$A:$K,ROW()-1-$L$2-$M$2-$N$2+1,2),""),"")))))</f>
        <v>Ethics</v>
      </c>
      <c r="C491" s="3" t="str">
        <f>IF(ROW()-1&lt;=0,"",IF(ROW()-1&lt;=$L$2,IFERROR(INDEX(MCQ!$A:$K,ROW()-1+1,3),""),IF(ROW()-1&lt;=$L$2+$M$2,IFERROR(INDEX(CLOZE_AB!$A:$K,ROW()-1-$L$2+1,3),""),IF(ROW()-1&lt;=$L$2+$M$2+$N$2,IFERROR(INDEX(CLOZE_LIST!$A:$K,ROW()-1-$L$2-$M$2+1,3),""),IF(ROW()-1&lt;=$L$2+$M$2+$N$2+$O$2,IFERROR(INDEX(PROFORMA!$A:$K,ROW()-1-$L$2-$M$2-$N$2+1,3),""),"")))))</f>
        <v>proformas</v>
      </c>
      <c r="D491" s="3" t="str">
        <f>IF(ROW()-1&lt;=0,"",IF(ROW()-1&lt;=$L$2,IFERROR(INDEX(MCQ!$A:$K,ROW()-1+1,4),""),IF(ROW()-1&lt;=$L$2+$M$2,IFERROR(INDEX(CLOZE_AB!$A:$K,ROW()-1-$L$2+1,4),""),IF(ROW()-1&lt;=$L$2+$M$2+$N$2,IFERROR(INDEX(CLOZE_LIST!$A:$K,ROW()-1-$L$2-$M$2+1,4),""),IF(ROW()-1&lt;=$L$2+$M$2+$N$2+$O$2,IFERROR(INDEX(PROFORMA!$A:$K,ROW()-1-$L$2-$M$2-$N$2+1,4),""),"")))))</f>
        <v>Safeguards</v>
      </c>
      <c r="E491" s="3" t="str">
        <f>IF(ROW()-1&lt;=0,"",IF(ROW()-1&lt;=$L$2,IFERROR(INDEX(MCQ!$A:$K,ROW()-1+1,5),""),IF(ROW()-1&lt;=$L$2+$M$2,IFERROR(INDEX(CLOZE_AB!$A:$K,ROW()-1-$L$2+1,5),""),IF(ROW()-1&lt;=$L$2+$M$2+$N$2,IFERROR(INDEX(CLOZE_LIST!$A:$K,ROW()-1-$L$2-$M$2+1,5),""),IF(ROW()-1&lt;=$L$2+$M$2+$N$2+$O$2,IFERROR(INDEX(PROFORMA!$A:$K,ROW()-1-$L$2-$M$2-$N$2+1,5),""),"")))))</f>
        <v>proforma_drag</v>
      </c>
      <c r="F491" s="3">
        <f>IF(ROW()-1&lt;=0,"",IF(ROW()-1&lt;=$L$2,IFERROR(INDEX(MCQ!$A:$K,ROW()-1+1,6),""),IF(ROW()-1&lt;=$L$2+$M$2,IFERROR(INDEX(CLOZE_AB!$A:$K,ROW()-1-$L$2+1,6),""),IF(ROW()-1&lt;=$L$2+$M$2+$N$2,IFERROR(INDEX(CLOZE_LIST!$A:$K,ROW()-1-$L$2-$M$2+1,6),""),IF(ROW()-1&lt;=$L$2+$M$2+$N$2+$O$2,IFERROR(INDEX(PROFORMA!$A:$K,ROW()-1-$L$2-$M$2-$N$2+1,6),""),"")))))</f>
        <v>3</v>
      </c>
      <c r="G491" s="3">
        <f>IF(ROW()-1&lt;=0,"",IF(ROW()-1&lt;=$L$2,IFERROR(INDEX(MCQ!$A:$K,ROW()-1+1,7),""),IF(ROW()-1&lt;=$L$2+$M$2,IFERROR(INDEX(CLOZE_AB!$A:$K,ROW()-1-$L$2+1,7),""),IF(ROW()-1&lt;=$L$2+$M$2+$N$2,IFERROR(INDEX(CLOZE_LIST!$A:$K,ROW()-1-$L$2-$M$2+1,7),""),IF(ROW()-1&lt;=$L$2+$M$2+$N$2+$O$2,IFERROR(INDEX(PROFORMA!$A:$K,ROW()-1-$L$2-$M$2-$N$2+1,7),""),"")))))</f>
        <v>0</v>
      </c>
      <c r="H491" s="3" t="str">
        <f>IF(ROW()-1&lt;=0,"",IF(ROW()-1&lt;=$L$2,IFERROR(INDEX(MCQ!$A:$K,ROW()-1+1,8),""),IF(ROW()-1&lt;=$L$2+$M$2,IFERROR(INDEX(CLOZE_AB!$A:$K,ROW()-1-$L$2+1,8),""),IF(ROW()-1&lt;=$L$2+$M$2+$N$2,IFERROR(INDEX(CLOZE_LIST!$A:$K,ROW()-1-$L$2-$M$2+1,8),""),IF(ROW()-1&lt;=$L$2+$M$2+$N$2+$O$2,IFERROR(INDEX(PROFORMA!$A:$K,ROW()-1-$L$2-$M$2-$N$2+1,8),""),"")))))</f>
        <v>Y</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122</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PF_ITNIC_PF_IR35_001</v>
      </c>
      <c r="B492" s="3" t="str">
        <f>IF(ROW()-1&lt;=0,"",IF(ROW()-1&lt;=$L$2,IFERROR(INDEX(MCQ!$A:$K,ROW()-1+1,2),""),IF(ROW()-1&lt;=$L$2+$M$2,IFERROR(INDEX(CLOZE_AB!$A:$K,ROW()-1-$L$2+1,2),""),IF(ROW()-1&lt;=$L$2+$M$2+$N$2,IFERROR(INDEX(CLOZE_LIST!$A:$K,ROW()-1-$L$2-$M$2+1,2),""),IF(ROW()-1&lt;=$L$2+$M$2+$N$2+$O$2,IFERROR(INDEX(PROFORMA!$A:$K,ROW()-1-$L$2-$M$2-$N$2+1,2),""),"")))))</f>
        <v>Income tax &amp; NIC</v>
      </c>
      <c r="C492" s="3" t="str">
        <f>IF(ROW()-1&lt;=0,"",IF(ROW()-1&lt;=$L$2,IFERROR(INDEX(MCQ!$A:$K,ROW()-1+1,3),""),IF(ROW()-1&lt;=$L$2+$M$2,IFERROR(INDEX(CLOZE_AB!$A:$K,ROW()-1-$L$2+1,3),""),IF(ROW()-1&lt;=$L$2+$M$2+$N$2,IFERROR(INDEX(CLOZE_LIST!$A:$K,ROW()-1-$L$2-$M$2+1,3),""),IF(ROW()-1&lt;=$L$2+$M$2+$N$2+$O$2,IFERROR(INDEX(PROFORMA!$A:$K,ROW()-1-$L$2-$M$2-$N$2+1,3),""),"")))))</f>
        <v>proformas</v>
      </c>
      <c r="D492" s="3" t="str">
        <f>IF(ROW()-1&lt;=0,"",IF(ROW()-1&lt;=$L$2,IFERROR(INDEX(MCQ!$A:$K,ROW()-1+1,4),""),IF(ROW()-1&lt;=$L$2+$M$2,IFERROR(INDEX(CLOZE_AB!$A:$K,ROW()-1-$L$2+1,4),""),IF(ROW()-1&lt;=$L$2+$M$2+$N$2,IFERROR(INDEX(CLOZE_LIST!$A:$K,ROW()-1-$L$2-$M$2+1,4),""),IF(ROW()-1&lt;=$L$2+$M$2+$N$2+$O$2,IFERROR(INDEX(PROFORMA!$A:$K,ROW()-1-$L$2-$M$2-$N$2+1,4),""),"")))))</f>
        <v>IR35 deemed payment calculation</v>
      </c>
      <c r="E492" s="3" t="str">
        <f>IF(ROW()-1&lt;=0,"",IF(ROW()-1&lt;=$L$2,IFERROR(INDEX(MCQ!$A:$K,ROW()-1+1,5),""),IF(ROW()-1&lt;=$L$2+$M$2,IFERROR(INDEX(CLOZE_AB!$A:$K,ROW()-1-$L$2+1,5),""),IF(ROW()-1&lt;=$L$2+$M$2+$N$2,IFERROR(INDEX(CLOZE_LIST!$A:$K,ROW()-1-$L$2-$M$2+1,5),""),IF(ROW()-1&lt;=$L$2+$M$2+$N$2+$O$2,IFERROR(INDEX(PROFORMA!$A:$K,ROW()-1-$L$2-$M$2-$N$2+1,5),""),"")))))</f>
        <v>proforma_drag</v>
      </c>
      <c r="F492" s="3">
        <f>IF(ROW()-1&lt;=0,"",IF(ROW()-1&lt;=$L$2,IFERROR(INDEX(MCQ!$A:$K,ROW()-1+1,6),""),IF(ROW()-1&lt;=$L$2+$M$2,IFERROR(INDEX(CLOZE_AB!$A:$K,ROW()-1-$L$2+1,6),""),IF(ROW()-1&lt;=$L$2+$M$2+$N$2,IFERROR(INDEX(CLOZE_LIST!$A:$K,ROW()-1-$L$2-$M$2+1,6),""),IF(ROW()-1&lt;=$L$2+$M$2+$N$2+$O$2,IFERROR(INDEX(PROFORMA!$A:$K,ROW()-1-$L$2-$M$2-$N$2+1,6),""),"")))))</f>
        <v>3</v>
      </c>
      <c r="G492" s="3" t="str">
        <f>IF(ROW()-1&lt;=0,"",IF(ROW()-1&lt;=$L$2,IFERROR(INDEX(MCQ!$A:$K,ROW()-1+1,7),""),IF(ROW()-1&lt;=$L$2+$M$2,IFERROR(INDEX(CLOZE_AB!$A:$K,ROW()-1-$L$2+1,7),""),IF(ROW()-1&lt;=$L$2+$M$2+$N$2,IFERROR(INDEX(CLOZE_LIST!$A:$K,ROW()-1-$L$2-$M$2+1,7),""),IF(ROW()-1&lt;=$L$2+$M$2+$N$2+$O$2,IFERROR(INDEX(PROFORMA!$A:$K,ROW()-1-$L$2-$M$2-$N$2+1,7),""),"")))))</f>
        <v>core</v>
      </c>
      <c r="H492" s="3" t="str">
        <f>IF(ROW()-1&lt;=0,"",IF(ROW()-1&lt;=$L$2,IFERROR(INDEX(MCQ!$A:$K,ROW()-1+1,8),""),IF(ROW()-1&lt;=$L$2+$M$2,IFERROR(INDEX(CLOZE_AB!$A:$K,ROW()-1-$L$2+1,8),""),IF(ROW()-1&lt;=$L$2+$M$2+$N$2,IFERROR(INDEX(CLOZE_LIST!$A:$K,ROW()-1-$L$2-$M$2+1,8),""),IF(ROW()-1&lt;=$L$2+$M$2+$N$2+$O$2,IFERROR(INDEX(PROFORMA!$A:$K,ROW()-1-$L$2-$M$2-$N$2+1,8),""),"")))))</f>
        <v>Y</v>
      </c>
      <c r="I492" s="3" t="str">
        <f>IF(ROW()-1&lt;=0,"",IF(ROW()-1&lt;=$L$2,IFERROR(INDEX(MCQ!$A:$K,ROW()-1+1,9),""),IF(ROW()-1&lt;=$L$2+$M$2,IFERROR(INDEX(CLOZE_AB!$A:$K,ROW()-1-$L$2+1,9),""),IF(ROW()-1&lt;=$L$2+$M$2+$N$2,IFERROR(INDEX(CLOZE_LIST!$A:$K,ROW()-1-$L$2-$M$2+1,9),""),IF(ROW()-1&lt;=$L$2+$M$2+$N$2+$O$2,IFERROR(INDEX(PROFORMA!$A:$K,ROW()-1-$L$2-$M$2-$N$2+1,9),""),"")))))</f>
        <v>ir35;deemed_payment;nic</v>
      </c>
      <c r="J492" s="3" t="str">
        <f>IF(ROW()-1&lt;=0,"",IF(ROW()-1&lt;=$L$2,IFERROR(INDEX(MCQ!$A:$K,ROW()-1+1,10),""),IF(ROW()-1&lt;=$L$2+$M$2,IFERROR(INDEX(CLOZE_AB!$A:$K,ROW()-1-$L$2+1,10),""),IF(ROW()-1&lt;=$L$2+$M$2+$N$2,IFERROR(INDEX(CLOZE_LIST!$A:$K,ROW()-1-$L$2-$M$2+1,10),""),IF(ROW()-1&lt;=$L$2+$M$2+$N$2+$O$2,IFERROR(INDEX(PROFORMA!$A:$K,ROW()-1-$L$2-$M$2-$N$2+1,10),""),"")))))</f>
        <v>proforma</v>
      </c>
      <c r="K492" s="3">
        <f>IF(ROW()-1&lt;=0,"",IF(ROW()-1&lt;=$L$2,IFERROR(INDEX(MCQ!$A:$K,ROW()-1+1,11),""),IF(ROW()-1&lt;=$L$2+$M$2,IFERROR(INDEX(CLOZE_AB!$A:$K,ROW()-1-$L$2+1,11),""),IF(ROW()-1&lt;=$L$2+$M$2+$N$2,IFERROR(INDEX(CLOZE_LIST!$A:$K,ROW()-1-$L$2-$M$2+1,11),""),IF(ROW()-1&lt;=$L$2+$M$2+$N$2+$O$2,IFERROR(INDEX(PROFORMA!$A:$K,ROW()-1-$L$2-$M$2-$N$2+1,11),""),"")))))</f>
        <v>1</v>
      </c>
      <c r="L492" s="3">
        <f>COUNTA(MCQ!$A:$A)-1</f>
        <v>122</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PF_ITNIC_PF_EIS_001</v>
      </c>
      <c r="B493" s="3" t="str">
        <f>IF(ROW()-1&lt;=0,"",IF(ROW()-1&lt;=$L$2,IFERROR(INDEX(MCQ!$A:$K,ROW()-1+1,2),""),IF(ROW()-1&lt;=$L$2+$M$2,IFERROR(INDEX(CLOZE_AB!$A:$K,ROW()-1-$L$2+1,2),""),IF(ROW()-1&lt;=$L$2+$M$2+$N$2,IFERROR(INDEX(CLOZE_LIST!$A:$K,ROW()-1-$L$2-$M$2+1,2),""),IF(ROW()-1&lt;=$L$2+$M$2+$N$2+$O$2,IFERROR(INDEX(PROFORMA!$A:$K,ROW()-1-$L$2-$M$2-$N$2+1,2),""),"")))))</f>
        <v>Income tax &amp; NIC</v>
      </c>
      <c r="C493" s="3" t="str">
        <f>IF(ROW()-1&lt;=0,"",IF(ROW()-1&lt;=$L$2,IFERROR(INDEX(MCQ!$A:$K,ROW()-1+1,3),""),IF(ROW()-1&lt;=$L$2+$M$2,IFERROR(INDEX(CLOZE_AB!$A:$K,ROW()-1-$L$2+1,3),""),IF(ROW()-1&lt;=$L$2+$M$2+$N$2,IFERROR(INDEX(CLOZE_LIST!$A:$K,ROW()-1-$L$2-$M$2+1,3),""),IF(ROW()-1&lt;=$L$2+$M$2+$N$2+$O$2,IFERROR(INDEX(PROFORMA!$A:$K,ROW()-1-$L$2-$M$2-$N$2+1,3),""),"")))))</f>
        <v>proformas</v>
      </c>
      <c r="D493" s="3" t="str">
        <f>IF(ROW()-1&lt;=0,"",IF(ROW()-1&lt;=$L$2,IFERROR(INDEX(MCQ!$A:$K,ROW()-1+1,4),""),IF(ROW()-1&lt;=$L$2+$M$2,IFERROR(INDEX(CLOZE_AB!$A:$K,ROW()-1-$L$2+1,4),""),IF(ROW()-1&lt;=$L$2+$M$2+$N$2,IFERROR(INDEX(CLOZE_LIST!$A:$K,ROW()-1-$L$2-$M$2+1,4),""),IF(ROW()-1&lt;=$L$2+$M$2+$N$2+$O$2,IFERROR(INDEX(PROFORMA!$A:$K,ROW()-1-$L$2-$M$2-$N$2+1,4),""),"")))))</f>
        <v>Tax efficient investments</v>
      </c>
      <c r="E493" s="3" t="str">
        <f>IF(ROW()-1&lt;=0,"",IF(ROW()-1&lt;=$L$2,IFERROR(INDEX(MCQ!$A:$K,ROW()-1+1,5),""),IF(ROW()-1&lt;=$L$2+$M$2,IFERROR(INDEX(CLOZE_AB!$A:$K,ROW()-1-$L$2+1,5),""),IF(ROW()-1&lt;=$L$2+$M$2+$N$2,IFERROR(INDEX(CLOZE_LIST!$A:$K,ROW()-1-$L$2-$M$2+1,5),""),IF(ROW()-1&lt;=$L$2+$M$2+$N$2+$O$2,IFERROR(INDEX(PROFORMA!$A:$K,ROW()-1-$L$2-$M$2-$N$2+1,5),""),"")))))</f>
        <v>proforma_drag</v>
      </c>
      <c r="F493" s="3">
        <f>IF(ROW()-1&lt;=0,"",IF(ROW()-1&lt;=$L$2,IFERROR(INDEX(MCQ!$A:$K,ROW()-1+1,6),""),IF(ROW()-1&lt;=$L$2+$M$2,IFERROR(INDEX(CLOZE_AB!$A:$K,ROW()-1-$L$2+1,6),""),IF(ROW()-1&lt;=$L$2+$M$2+$N$2,IFERROR(INDEX(CLOZE_LIST!$A:$K,ROW()-1-$L$2-$M$2+1,6),""),IF(ROW()-1&lt;=$L$2+$M$2+$N$2+$O$2,IFERROR(INDEX(PROFORMA!$A:$K,ROW()-1-$L$2-$M$2-$N$2+1,6),""),"")))))</f>
        <v>3</v>
      </c>
      <c r="G493" s="3" t="str">
        <f>IF(ROW()-1&lt;=0,"",IF(ROW()-1&lt;=$L$2,IFERROR(INDEX(MCQ!$A:$K,ROW()-1+1,7),""),IF(ROW()-1&lt;=$L$2+$M$2,IFERROR(INDEX(CLOZE_AB!$A:$K,ROW()-1-$L$2+1,7),""),IF(ROW()-1&lt;=$L$2+$M$2+$N$2,IFERROR(INDEX(CLOZE_LIST!$A:$K,ROW()-1-$L$2-$M$2+1,7),""),IF(ROW()-1&lt;=$L$2+$M$2+$N$2+$O$2,IFERROR(INDEX(PROFORMA!$A:$K,ROW()-1-$L$2-$M$2-$N$2+1,7),""),"")))))</f>
        <v>core</v>
      </c>
      <c r="H493" s="3" t="str">
        <f>IF(ROW()-1&lt;=0,"",IF(ROW()-1&lt;=$L$2,IFERROR(INDEX(MCQ!$A:$K,ROW()-1+1,8),""),IF(ROW()-1&lt;=$L$2+$M$2,IFERROR(INDEX(CLOZE_AB!$A:$K,ROW()-1-$L$2+1,8),""),IF(ROW()-1&lt;=$L$2+$M$2+$N$2,IFERROR(INDEX(CLOZE_LIST!$A:$K,ROW()-1-$L$2-$M$2+1,8),""),IF(ROW()-1&lt;=$L$2+$M$2+$N$2+$O$2,IFERROR(INDEX(PROFORMA!$A:$K,ROW()-1-$L$2-$M$2-$N$2+1,8),""),"")))))</f>
        <v>Y</v>
      </c>
      <c r="I493" s="3" t="str">
        <f>IF(ROW()-1&lt;=0,"",IF(ROW()-1&lt;=$L$2,IFERROR(INDEX(MCQ!$A:$K,ROW()-1+1,9),""),IF(ROW()-1&lt;=$L$2+$M$2,IFERROR(INDEX(CLOZE_AB!$A:$K,ROW()-1-$L$2+1,9),""),IF(ROW()-1&lt;=$L$2+$M$2+$N$2,IFERROR(INDEX(CLOZE_LIST!$A:$K,ROW()-1-$L$2-$M$2+1,9),""),IF(ROW()-1&lt;=$L$2+$M$2+$N$2+$O$2,IFERROR(INDEX(PROFORMA!$A:$K,ROW()-1-$L$2-$M$2-$N$2+1,9),""),"")))))</f>
        <v>eis;seis;vct</v>
      </c>
      <c r="J493" s="3" t="str">
        <f>IF(ROW()-1&lt;=0,"",IF(ROW()-1&lt;=$L$2,IFERROR(INDEX(MCQ!$A:$K,ROW()-1+1,10),""),IF(ROW()-1&lt;=$L$2+$M$2,IFERROR(INDEX(CLOZE_AB!$A:$K,ROW()-1-$L$2+1,10),""),IF(ROW()-1&lt;=$L$2+$M$2+$N$2,IFERROR(INDEX(CLOZE_LIST!$A:$K,ROW()-1-$L$2-$M$2+1,10),""),IF(ROW()-1&lt;=$L$2+$M$2+$N$2+$O$2,IFERROR(INDEX(PROFORMA!$A:$K,ROW()-1-$L$2-$M$2-$N$2+1,10),""),"")))))</f>
        <v>notes</v>
      </c>
      <c r="K493" s="3">
        <f>IF(ROW()-1&lt;=0,"",IF(ROW()-1&lt;=$L$2,IFERROR(INDEX(MCQ!$A:$K,ROW()-1+1,11),""),IF(ROW()-1&lt;=$L$2+$M$2,IFERROR(INDEX(CLOZE_AB!$A:$K,ROW()-1-$L$2+1,11),""),IF(ROW()-1&lt;=$L$2+$M$2+$N$2,IFERROR(INDEX(CLOZE_LIST!$A:$K,ROW()-1-$L$2-$M$2+1,11),""),IF(ROW()-1&lt;=$L$2+$M$2+$N$2+$O$2,IFERROR(INDEX(PROFORMA!$A:$K,ROW()-1-$L$2-$M$2-$N$2+1,11),""),"")))))</f>
        <v>1</v>
      </c>
      <c r="L493" s="3">
        <f>COUNTA(MCQ!$A:$A)-1</f>
        <v>122</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PF_ITNIC_PF_PSC_001</v>
      </c>
      <c r="B494" s="3" t="str">
        <f>IF(ROW()-1&lt;=0,"",IF(ROW()-1&lt;=$L$2,IFERROR(INDEX(MCQ!$A:$K,ROW()-1+1,2),""),IF(ROW()-1&lt;=$L$2+$M$2,IFERROR(INDEX(CLOZE_AB!$A:$K,ROW()-1-$L$2+1,2),""),IF(ROW()-1&lt;=$L$2+$M$2+$N$2,IFERROR(INDEX(CLOZE_LIST!$A:$K,ROW()-1-$L$2-$M$2+1,2),""),IF(ROW()-1&lt;=$L$2+$M$2+$N$2+$O$2,IFERROR(INDEX(PROFORMA!$A:$K,ROW()-1-$L$2-$M$2-$N$2+1,2),""),"")))))</f>
        <v>Income tax &amp; NIC</v>
      </c>
      <c r="C494" s="3" t="str">
        <f>IF(ROW()-1&lt;=0,"",IF(ROW()-1&lt;=$L$2,IFERROR(INDEX(MCQ!$A:$K,ROW()-1+1,3),""),IF(ROW()-1&lt;=$L$2+$M$2,IFERROR(INDEX(CLOZE_AB!$A:$K,ROW()-1-$L$2+1,3),""),IF(ROW()-1&lt;=$L$2+$M$2+$N$2,IFERROR(INDEX(CLOZE_LIST!$A:$K,ROW()-1-$L$2-$M$2+1,3),""),IF(ROW()-1&lt;=$L$2+$M$2+$N$2+$O$2,IFERROR(INDEX(PROFORMA!$A:$K,ROW()-1-$L$2-$M$2-$N$2+1,3),""),"")))))</f>
        <v>proformas</v>
      </c>
      <c r="D494" s="3" t="str">
        <f>IF(ROW()-1&lt;=0,"",IF(ROW()-1&lt;=$L$2,IFERROR(INDEX(MCQ!$A:$K,ROW()-1+1,4),""),IF(ROW()-1&lt;=$L$2+$M$2,IFERROR(INDEX(CLOZE_AB!$A:$K,ROW()-1-$L$2+1,4),""),IF(ROW()-1&lt;=$L$2+$M$2+$N$2,IFERROR(INDEX(CLOZE_LIST!$A:$K,ROW()-1-$L$2-$M$2+1,4),""),IF(ROW()-1&lt;=$L$2+$M$2+$N$2+$O$2,IFERROR(INDEX(PROFORMA!$A:$K,ROW()-1-$L$2-$M$2-$N$2+1,4),""),"")))))</f>
        <v>Personal service companies and IR35</v>
      </c>
      <c r="E494" s="3" t="str">
        <f>IF(ROW()-1&lt;=0,"",IF(ROW()-1&lt;=$L$2,IFERROR(INDEX(MCQ!$A:$K,ROW()-1+1,5),""),IF(ROW()-1&lt;=$L$2+$M$2,IFERROR(INDEX(CLOZE_AB!$A:$K,ROW()-1-$L$2+1,5),""),IF(ROW()-1&lt;=$L$2+$M$2+$N$2,IFERROR(INDEX(CLOZE_LIST!$A:$K,ROW()-1-$L$2-$M$2+1,5),""),IF(ROW()-1&lt;=$L$2+$M$2+$N$2+$O$2,IFERROR(INDEX(PROFORMA!$A:$K,ROW()-1-$L$2-$M$2-$N$2+1,5),""),"")))))</f>
        <v>proforma_drag</v>
      </c>
      <c r="F494" s="3">
        <f>IF(ROW()-1&lt;=0,"",IF(ROW()-1&lt;=$L$2,IFERROR(INDEX(MCQ!$A:$K,ROW()-1+1,6),""),IF(ROW()-1&lt;=$L$2+$M$2,IFERROR(INDEX(CLOZE_AB!$A:$K,ROW()-1-$L$2+1,6),""),IF(ROW()-1&lt;=$L$2+$M$2+$N$2,IFERROR(INDEX(CLOZE_LIST!$A:$K,ROW()-1-$L$2-$M$2+1,6),""),IF(ROW()-1&lt;=$L$2+$M$2+$N$2+$O$2,IFERROR(INDEX(PROFORMA!$A:$K,ROW()-1-$L$2-$M$2-$N$2+1,6),""),"")))))</f>
        <v>3</v>
      </c>
      <c r="G494" s="3" t="str">
        <f>IF(ROW()-1&lt;=0,"",IF(ROW()-1&lt;=$L$2,IFERROR(INDEX(MCQ!$A:$K,ROW()-1+1,7),""),IF(ROW()-1&lt;=$L$2+$M$2,IFERROR(INDEX(CLOZE_AB!$A:$K,ROW()-1-$L$2+1,7),""),IF(ROW()-1&lt;=$L$2+$M$2+$N$2,IFERROR(INDEX(CLOZE_LIST!$A:$K,ROW()-1-$L$2-$M$2+1,7),""),IF(ROW()-1&lt;=$L$2+$M$2+$N$2+$O$2,IFERROR(INDEX(PROFORMA!$A:$K,ROW()-1-$L$2-$M$2-$N$2+1,7),""),"")))))</f>
        <v>core</v>
      </c>
      <c r="H494" s="3" t="str">
        <f>IF(ROW()-1&lt;=0,"",IF(ROW()-1&lt;=$L$2,IFERROR(INDEX(MCQ!$A:$K,ROW()-1+1,8),""),IF(ROW()-1&lt;=$L$2+$M$2,IFERROR(INDEX(CLOZE_AB!$A:$K,ROW()-1-$L$2+1,8),""),IF(ROW()-1&lt;=$L$2+$M$2+$N$2,IFERROR(INDEX(CLOZE_LIST!$A:$K,ROW()-1-$L$2-$M$2+1,8),""),IF(ROW()-1&lt;=$L$2+$M$2+$N$2+$O$2,IFERROR(INDEX(PROFORMA!$A:$K,ROW()-1-$L$2-$M$2-$N$2+1,8),""),"")))))</f>
        <v>Y</v>
      </c>
      <c r="I494" s="3" t="str">
        <f>IF(ROW()-1&lt;=0,"",IF(ROW()-1&lt;=$L$2,IFERROR(INDEX(MCQ!$A:$K,ROW()-1+1,9),""),IF(ROW()-1&lt;=$L$2+$M$2,IFERROR(INDEX(CLOZE_AB!$A:$K,ROW()-1-$L$2+1,9),""),IF(ROW()-1&lt;=$L$2+$M$2+$N$2,IFERROR(INDEX(CLOZE_LIST!$A:$K,ROW()-1-$L$2-$M$2+1,9),""),IF(ROW()-1&lt;=$L$2+$M$2+$N$2+$O$2,IFERROR(INDEX(PROFORMA!$A:$K,ROW()-1-$L$2-$M$2-$N$2+1,9),""),"")))))</f>
        <v>psc;ir35;sds;ddp</v>
      </c>
      <c r="J494" s="3" t="str">
        <f>IF(ROW()-1&lt;=0,"",IF(ROW()-1&lt;=$L$2,IFERROR(INDEX(MCQ!$A:$K,ROW()-1+1,10),""),IF(ROW()-1&lt;=$L$2+$M$2,IFERROR(INDEX(CLOZE_AB!$A:$K,ROW()-1-$L$2+1,10),""),IF(ROW()-1&lt;=$L$2+$M$2+$N$2,IFERROR(INDEX(CLOZE_LIST!$A:$K,ROW()-1-$L$2-$M$2+1,10),""),IF(ROW()-1&lt;=$L$2+$M$2+$N$2+$O$2,IFERROR(INDEX(PROFORMA!$A:$K,ROW()-1-$L$2-$M$2-$N$2+1,10),""),"")))))</f>
        <v>notes</v>
      </c>
      <c r="K494" s="3">
        <f>IF(ROW()-1&lt;=0,"",IF(ROW()-1&lt;=$L$2,IFERROR(INDEX(MCQ!$A:$K,ROW()-1+1,11),""),IF(ROW()-1&lt;=$L$2+$M$2,IFERROR(INDEX(CLOZE_AB!$A:$K,ROW()-1-$L$2+1,11),""),IF(ROW()-1&lt;=$L$2+$M$2+$N$2,IFERROR(INDEX(CLOZE_LIST!$A:$K,ROW()-1-$L$2-$M$2+1,11),""),IF(ROW()-1&lt;=$L$2+$M$2+$N$2+$O$2,IFERROR(INDEX(PROFORMA!$A:$K,ROW()-1-$L$2-$M$2-$N$2+1,11),""),"")))))</f>
        <v>1</v>
      </c>
      <c r="L494" s="3">
        <f>COUNTA(MCQ!$A:$A)-1</f>
        <v>122</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PF_ITNIC_PF_PSC_002</v>
      </c>
      <c r="B495" s="3" t="str">
        <f>IF(ROW()-1&lt;=0,"",IF(ROW()-1&lt;=$L$2,IFERROR(INDEX(MCQ!$A:$K,ROW()-1+1,2),""),IF(ROW()-1&lt;=$L$2+$M$2,IFERROR(INDEX(CLOZE_AB!$A:$K,ROW()-1-$L$2+1,2),""),IF(ROW()-1&lt;=$L$2+$M$2+$N$2,IFERROR(INDEX(CLOZE_LIST!$A:$K,ROW()-1-$L$2-$M$2+1,2),""),IF(ROW()-1&lt;=$L$2+$M$2+$N$2+$O$2,IFERROR(INDEX(PROFORMA!$A:$K,ROW()-1-$L$2-$M$2-$N$2+1,2),""),"")))))</f>
        <v>Income tax &amp; NIC</v>
      </c>
      <c r="C495" s="3" t="str">
        <f>IF(ROW()-1&lt;=0,"",IF(ROW()-1&lt;=$L$2,IFERROR(INDEX(MCQ!$A:$K,ROW()-1+1,3),""),IF(ROW()-1&lt;=$L$2+$M$2,IFERROR(INDEX(CLOZE_AB!$A:$K,ROW()-1-$L$2+1,3),""),IF(ROW()-1&lt;=$L$2+$M$2+$N$2,IFERROR(INDEX(CLOZE_LIST!$A:$K,ROW()-1-$L$2-$M$2+1,3),""),IF(ROW()-1&lt;=$L$2+$M$2+$N$2+$O$2,IFERROR(INDEX(PROFORMA!$A:$K,ROW()-1-$L$2-$M$2-$N$2+1,3),""),"")))))</f>
        <v>proformas</v>
      </c>
      <c r="D495" s="3" t="str">
        <f>IF(ROW()-1&lt;=0,"",IF(ROW()-1&lt;=$L$2,IFERROR(INDEX(MCQ!$A:$K,ROW()-1+1,4),""),IF(ROW()-1&lt;=$L$2+$M$2,IFERROR(INDEX(CLOZE_AB!$A:$K,ROW()-1-$L$2+1,4),""),IF(ROW()-1&lt;=$L$2+$M$2+$N$2,IFERROR(INDEX(CLOZE_LIST!$A:$K,ROW()-1-$L$2-$M$2+1,4),""),IF(ROW()-1&lt;=$L$2+$M$2+$N$2+$O$2,IFERROR(INDEX(PROFORMA!$A:$K,ROW()-1-$L$2-$M$2-$N$2+1,4),""),"")))))</f>
        <v>Personal service companies and IR35</v>
      </c>
      <c r="E495" s="3" t="str">
        <f>IF(ROW()-1&lt;=0,"",IF(ROW()-1&lt;=$L$2,IFERROR(INDEX(MCQ!$A:$K,ROW()-1+1,5),""),IF(ROW()-1&lt;=$L$2+$M$2,IFERROR(INDEX(CLOZE_AB!$A:$K,ROW()-1-$L$2+1,5),""),IF(ROW()-1&lt;=$L$2+$M$2+$N$2,IFERROR(INDEX(CLOZE_LIST!$A:$K,ROW()-1-$L$2-$M$2+1,5),""),IF(ROW()-1&lt;=$L$2+$M$2+$N$2+$O$2,IFERROR(INDEX(PROFORMA!$A:$K,ROW()-1-$L$2-$M$2-$N$2+1,5),""),"")))))</f>
        <v>proforma_drag</v>
      </c>
      <c r="F495" s="3">
        <f>IF(ROW()-1&lt;=0,"",IF(ROW()-1&lt;=$L$2,IFERROR(INDEX(MCQ!$A:$K,ROW()-1+1,6),""),IF(ROW()-1&lt;=$L$2+$M$2,IFERROR(INDEX(CLOZE_AB!$A:$K,ROW()-1-$L$2+1,6),""),IF(ROW()-1&lt;=$L$2+$M$2+$N$2,IFERROR(INDEX(CLOZE_LIST!$A:$K,ROW()-1-$L$2-$M$2+1,6),""),IF(ROW()-1&lt;=$L$2+$M$2+$N$2+$O$2,IFERROR(INDEX(PROFORMA!$A:$K,ROW()-1-$L$2-$M$2-$N$2+1,6),""),"")))))</f>
        <v>3</v>
      </c>
      <c r="G495" s="3" t="str">
        <f>IF(ROW()-1&lt;=0,"",IF(ROW()-1&lt;=$L$2,IFERROR(INDEX(MCQ!$A:$K,ROW()-1+1,7),""),IF(ROW()-1&lt;=$L$2+$M$2,IFERROR(INDEX(CLOZE_AB!$A:$K,ROW()-1-$L$2+1,7),""),IF(ROW()-1&lt;=$L$2+$M$2+$N$2,IFERROR(INDEX(CLOZE_LIST!$A:$K,ROW()-1-$L$2-$M$2+1,7),""),IF(ROW()-1&lt;=$L$2+$M$2+$N$2+$O$2,IFERROR(INDEX(PROFORMA!$A:$K,ROW()-1-$L$2-$M$2-$N$2+1,7),""),"")))))</f>
        <v>core</v>
      </c>
      <c r="H495" s="3" t="str">
        <f>IF(ROW()-1&lt;=0,"",IF(ROW()-1&lt;=$L$2,IFERROR(INDEX(MCQ!$A:$K,ROW()-1+1,8),""),IF(ROW()-1&lt;=$L$2+$M$2,IFERROR(INDEX(CLOZE_AB!$A:$K,ROW()-1-$L$2+1,8),""),IF(ROW()-1&lt;=$L$2+$M$2+$N$2,IFERROR(INDEX(CLOZE_LIST!$A:$K,ROW()-1-$L$2-$M$2+1,8),""),IF(ROW()-1&lt;=$L$2+$M$2+$N$2+$O$2,IFERROR(INDEX(PROFORMA!$A:$K,ROW()-1-$L$2-$M$2-$N$2+1,8),""),"")))))</f>
        <v>Y</v>
      </c>
      <c r="I495" s="3" t="str">
        <f>IF(ROW()-1&lt;=0,"",IF(ROW()-1&lt;=$L$2,IFERROR(INDEX(MCQ!$A:$K,ROW()-1+1,9),""),IF(ROW()-1&lt;=$L$2+$M$2,IFERROR(INDEX(CLOZE_AB!$A:$K,ROW()-1-$L$2+1,9),""),IF(ROW()-1&lt;=$L$2+$M$2+$N$2,IFERROR(INDEX(CLOZE_LIST!$A:$K,ROW()-1-$L$2-$M$2+1,9),""),IF(ROW()-1&lt;=$L$2+$M$2+$N$2+$O$2,IFERROR(INDEX(PROFORMA!$A:$K,ROW()-1-$L$2-$M$2-$N$2+1,9),""),"")))))</f>
        <v>psc;ir35;sds;ddp</v>
      </c>
      <c r="J495" s="3" t="str">
        <f>IF(ROW()-1&lt;=0,"",IF(ROW()-1&lt;=$L$2,IFERROR(INDEX(MCQ!$A:$K,ROW()-1+1,10),""),IF(ROW()-1&lt;=$L$2+$M$2,IFERROR(INDEX(CLOZE_AB!$A:$K,ROW()-1-$L$2+1,10),""),IF(ROW()-1&lt;=$L$2+$M$2+$N$2,IFERROR(INDEX(CLOZE_LIST!$A:$K,ROW()-1-$L$2-$M$2+1,10),""),IF(ROW()-1&lt;=$L$2+$M$2+$N$2+$O$2,IFERROR(INDEX(PROFORMA!$A:$K,ROW()-1-$L$2-$M$2-$N$2+1,10),""),"")))))</f>
        <v>notes</v>
      </c>
      <c r="K495" s="3">
        <f>IF(ROW()-1&lt;=0,"",IF(ROW()-1&lt;=$L$2,IFERROR(INDEX(MCQ!$A:$K,ROW()-1+1,11),""),IF(ROW()-1&lt;=$L$2+$M$2,IFERROR(INDEX(CLOZE_AB!$A:$K,ROW()-1-$L$2+1,11),""),IF(ROW()-1&lt;=$L$2+$M$2+$N$2,IFERROR(INDEX(CLOZE_LIST!$A:$K,ROW()-1-$L$2-$M$2+1,11),""),IF(ROW()-1&lt;=$L$2+$M$2+$N$2+$O$2,IFERROR(INDEX(PROFORMA!$A:$K,ROW()-1-$L$2-$M$2-$N$2+1,11),""),"")))))</f>
        <v>1</v>
      </c>
      <c r="L495" s="3">
        <f>COUNTA(MCQ!$A:$A)-1</f>
        <v>122</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PF_ITNIC_PF_ITCOMP_001</v>
      </c>
      <c r="B496" s="3" t="str">
        <f>IF(ROW()-1&lt;=0,"",IF(ROW()-1&lt;=$L$2,IFERROR(INDEX(MCQ!$A:$K,ROW()-1+1,2),""),IF(ROW()-1&lt;=$L$2+$M$2,IFERROR(INDEX(CLOZE_AB!$A:$K,ROW()-1-$L$2+1,2),""),IF(ROW()-1&lt;=$L$2+$M$2+$N$2,IFERROR(INDEX(CLOZE_LIST!$A:$K,ROW()-1-$L$2-$M$2+1,2),""),IF(ROW()-1&lt;=$L$2+$M$2+$N$2+$O$2,IFERROR(INDEX(PROFORMA!$A:$K,ROW()-1-$L$2-$M$2-$N$2+1,2),""),"")))))</f>
        <v>Income tax &amp; NIC</v>
      </c>
      <c r="C496" s="3" t="str">
        <f>IF(ROW()-1&lt;=0,"",IF(ROW()-1&lt;=$L$2,IFERROR(INDEX(MCQ!$A:$K,ROW()-1+1,3),""),IF(ROW()-1&lt;=$L$2+$M$2,IFERROR(INDEX(CLOZE_AB!$A:$K,ROW()-1-$L$2+1,3),""),IF(ROW()-1&lt;=$L$2+$M$2+$N$2,IFERROR(INDEX(CLOZE_LIST!$A:$K,ROW()-1-$L$2-$M$2+1,3),""),IF(ROW()-1&lt;=$L$2+$M$2+$N$2+$O$2,IFERROR(INDEX(PROFORMA!$A:$K,ROW()-1-$L$2-$M$2-$N$2+1,3),""),"")))))</f>
        <v>proformas</v>
      </c>
      <c r="D496" s="3" t="str">
        <f>IF(ROW()-1&lt;=0,"",IF(ROW()-1&lt;=$L$2,IFERROR(INDEX(MCQ!$A:$K,ROW()-1+1,4),""),IF(ROW()-1&lt;=$L$2+$M$2,IFERROR(INDEX(CLOZE_AB!$A:$K,ROW()-1-$L$2+1,4),""),IF(ROW()-1&lt;=$L$2+$M$2+$N$2,IFERROR(INDEX(CLOZE_LIST!$A:$K,ROW()-1-$L$2-$M$2+1,4),""),IF(ROW()-1&lt;=$L$2+$M$2+$N$2+$O$2,IFERROR(INDEX(PROFORMA!$A:$K,ROW()-1-$L$2-$M$2-$N$2+1,4),""),"")))))</f>
        <v>Income tax payable computation (individual)</v>
      </c>
      <c r="E496" s="3" t="str">
        <f>IF(ROW()-1&lt;=0,"",IF(ROW()-1&lt;=$L$2,IFERROR(INDEX(MCQ!$A:$K,ROW()-1+1,5),""),IF(ROW()-1&lt;=$L$2+$M$2,IFERROR(INDEX(CLOZE_AB!$A:$K,ROW()-1-$L$2+1,5),""),IF(ROW()-1&lt;=$L$2+$M$2+$N$2,IFERROR(INDEX(CLOZE_LIST!$A:$K,ROW()-1-$L$2-$M$2+1,5),""),IF(ROW()-1&lt;=$L$2+$M$2+$N$2+$O$2,IFERROR(INDEX(PROFORMA!$A:$K,ROW()-1-$L$2-$M$2-$N$2+1,5),""),"")))))</f>
        <v>proforma_drag</v>
      </c>
      <c r="F496" s="3">
        <f>IF(ROW()-1&lt;=0,"",IF(ROW()-1&lt;=$L$2,IFERROR(INDEX(MCQ!$A:$K,ROW()-1+1,6),""),IF(ROW()-1&lt;=$L$2+$M$2,IFERROR(INDEX(CLOZE_AB!$A:$K,ROW()-1-$L$2+1,6),""),IF(ROW()-1&lt;=$L$2+$M$2+$N$2,IFERROR(INDEX(CLOZE_LIST!$A:$K,ROW()-1-$L$2-$M$2+1,6),""),IF(ROW()-1&lt;=$L$2+$M$2+$N$2+$O$2,IFERROR(INDEX(PROFORMA!$A:$K,ROW()-1-$L$2-$M$2-$N$2+1,6),""),"")))))</f>
        <v>3</v>
      </c>
      <c r="G496" s="3" t="str">
        <f>IF(ROW()-1&lt;=0,"",IF(ROW()-1&lt;=$L$2,IFERROR(INDEX(MCQ!$A:$K,ROW()-1+1,7),""),IF(ROW()-1&lt;=$L$2+$M$2,IFERROR(INDEX(CLOZE_AB!$A:$K,ROW()-1-$L$2+1,7),""),IF(ROW()-1&lt;=$L$2+$M$2+$N$2,IFERROR(INDEX(CLOZE_LIST!$A:$K,ROW()-1-$L$2-$M$2+1,7),""),IF(ROW()-1&lt;=$L$2+$M$2+$N$2+$O$2,IFERROR(INDEX(PROFORMA!$A:$K,ROW()-1-$L$2-$M$2-$N$2+1,7),""),"")))))</f>
        <v>core</v>
      </c>
      <c r="H496" s="3" t="str">
        <f>IF(ROW()-1&lt;=0,"",IF(ROW()-1&lt;=$L$2,IFERROR(INDEX(MCQ!$A:$K,ROW()-1+1,8),""),IF(ROW()-1&lt;=$L$2+$M$2,IFERROR(INDEX(CLOZE_AB!$A:$K,ROW()-1-$L$2+1,8),""),IF(ROW()-1&lt;=$L$2+$M$2+$N$2,IFERROR(INDEX(CLOZE_LIST!$A:$K,ROW()-1-$L$2-$M$2+1,8),""),IF(ROW()-1&lt;=$L$2+$M$2+$N$2+$O$2,IFERROR(INDEX(PROFORMA!$A:$K,ROW()-1-$L$2-$M$2-$N$2+1,8),""),"")))))</f>
        <v>Y</v>
      </c>
      <c r="I496" s="3" t="str">
        <f>IF(ROW()-1&lt;=0,"",IF(ROW()-1&lt;=$L$2,IFERROR(INDEX(MCQ!$A:$K,ROW()-1+1,9),""),IF(ROW()-1&lt;=$L$2+$M$2,IFERROR(INDEX(CLOZE_AB!$A:$K,ROW()-1-$L$2+1,9),""),IF(ROW()-1&lt;=$L$2+$M$2+$N$2,IFERROR(INDEX(CLOZE_LIST!$A:$K,ROW()-1-$L$2-$M$2+1,9),""),IF(ROW()-1&lt;=$L$2+$M$2+$N$2+$O$2,IFERROR(INDEX(PROFORMA!$A:$K,ROW()-1-$L$2-$M$2-$N$2+1,9),""),"")))))</f>
        <v>it-computation</v>
      </c>
      <c r="J496" s="3" t="str">
        <f>IF(ROW()-1&lt;=0,"",IF(ROW()-1&lt;=$L$2,IFERROR(INDEX(MCQ!$A:$K,ROW()-1+1,10),""),IF(ROW()-1&lt;=$L$2+$M$2,IFERROR(INDEX(CLOZE_AB!$A:$K,ROW()-1-$L$2+1,10),""),IF(ROW()-1&lt;=$L$2+$M$2+$N$2,IFERROR(INDEX(CLOZE_LIST!$A:$K,ROW()-1-$L$2-$M$2+1,10),""),IF(ROW()-1&lt;=$L$2+$M$2+$N$2+$O$2,IFERROR(INDEX(PROFORMA!$A:$K,ROW()-1-$L$2-$M$2-$N$2+1,10),""),"")))))</f>
        <v>image-proforma</v>
      </c>
      <c r="K496" s="3">
        <f>IF(ROW()-1&lt;=0,"",IF(ROW()-1&lt;=$L$2,IFERROR(INDEX(MCQ!$A:$K,ROW()-1+1,11),""),IF(ROW()-1&lt;=$L$2+$M$2,IFERROR(INDEX(CLOZE_AB!$A:$K,ROW()-1-$L$2+1,11),""),IF(ROW()-1&lt;=$L$2+$M$2+$N$2,IFERROR(INDEX(CLOZE_LIST!$A:$K,ROW()-1-$L$2-$M$2+1,11),""),IF(ROW()-1&lt;=$L$2+$M$2+$N$2+$O$2,IFERROR(INDEX(PROFORMA!$A:$K,ROW()-1-$L$2-$M$2-$N$2+1,11),""),"")))))</f>
        <v>1</v>
      </c>
      <c r="L496" s="3">
        <f>COUNTA(MCQ!$A:$A)-1</f>
        <v>122</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122</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122</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122</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122</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122</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122</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122</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122</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122</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122</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122</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122</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122</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122</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122</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
      </c>
      <c r="B512" s="3">
        <f>IF(ROW()-1&lt;=0,"",IF(ROW()-1&lt;=$L$2,IFERROR(INDEX(MCQ!$A:$K,ROW()-1+1,2),""),IF(ROW()-1&lt;=$L$2+$M$2,IFERROR(INDEX(CLOZE_AB!$A:$K,ROW()-1-$L$2+1,2),""),IF(ROW()-1&lt;=$L$2+$M$2+$N$2,IFERROR(INDEX(CLOZE_LIST!$A:$K,ROW()-1-$L$2-$M$2+1,2),""),IF(ROW()-1&lt;=$L$2+$M$2+$N$2+$O$2,IFERROR(INDEX(PROFORMA!$A:$K,ROW()-1-$L$2-$M$2-$N$2+1,2),""),"")))))</f>
        <v>0</v>
      </c>
      <c r="C512" s="3">
        <f>IF(ROW()-1&lt;=0,"",IF(ROW()-1&lt;=$L$2,IFERROR(INDEX(MCQ!$A:$K,ROW()-1+1,3),""),IF(ROW()-1&lt;=$L$2+$M$2,IFERROR(INDEX(CLOZE_AB!$A:$K,ROW()-1-$L$2+1,3),""),IF(ROW()-1&lt;=$L$2+$M$2+$N$2,IFERROR(INDEX(CLOZE_LIST!$A:$K,ROW()-1-$L$2-$M$2+1,3),""),IF(ROW()-1&lt;=$L$2+$M$2+$N$2+$O$2,IFERROR(INDEX(PROFORMA!$A:$K,ROW()-1-$L$2-$M$2-$N$2+1,3),""),"")))))</f>
        <v>0</v>
      </c>
      <c r="D512" s="3">
        <f>IF(ROW()-1&lt;=0,"",IF(ROW()-1&lt;=$L$2,IFERROR(INDEX(MCQ!$A:$K,ROW()-1+1,4),""),IF(ROW()-1&lt;=$L$2+$M$2,IFERROR(INDEX(CLOZE_AB!$A:$K,ROW()-1-$L$2+1,4),""),IF(ROW()-1&lt;=$L$2+$M$2+$N$2,IFERROR(INDEX(CLOZE_LIST!$A:$K,ROW()-1-$L$2-$M$2+1,4),""),IF(ROW()-1&lt;=$L$2+$M$2+$N$2+$O$2,IFERROR(INDEX(PROFORMA!$A:$K,ROW()-1-$L$2-$M$2-$N$2+1,4),""),"")))))</f>
        <v>0</v>
      </c>
      <c r="E512" s="3">
        <f>IF(ROW()-1&lt;=0,"",IF(ROW()-1&lt;=$L$2,IFERROR(INDEX(MCQ!$A:$K,ROW()-1+1,5),""),IF(ROW()-1&lt;=$L$2+$M$2,IFERROR(INDEX(CLOZE_AB!$A:$K,ROW()-1-$L$2+1,5),""),IF(ROW()-1&lt;=$L$2+$M$2+$N$2,IFERROR(INDEX(CLOZE_LIST!$A:$K,ROW()-1-$L$2-$M$2+1,5),""),IF(ROW()-1&lt;=$L$2+$M$2+$N$2+$O$2,IFERROR(INDEX(PROFORMA!$A:$K,ROW()-1-$L$2-$M$2-$N$2+1,5),""),"")))))</f>
        <v>0</v>
      </c>
      <c r="F512" s="3">
        <f>IF(ROW()-1&lt;=0,"",IF(ROW()-1&lt;=$L$2,IFERROR(INDEX(MCQ!$A:$K,ROW()-1+1,6),""),IF(ROW()-1&lt;=$L$2+$M$2,IFERROR(INDEX(CLOZE_AB!$A:$K,ROW()-1-$L$2+1,6),""),IF(ROW()-1&lt;=$L$2+$M$2+$N$2,IFERROR(INDEX(CLOZE_LIST!$A:$K,ROW()-1-$L$2-$M$2+1,6),""),IF(ROW()-1&lt;=$L$2+$M$2+$N$2+$O$2,IFERROR(INDEX(PROFORMA!$A:$K,ROW()-1-$L$2-$M$2-$N$2+1,6),""),"")))))</f>
        <v>0</v>
      </c>
      <c r="G512" s="3">
        <f>IF(ROW()-1&lt;=0,"",IF(ROW()-1&lt;=$L$2,IFERROR(INDEX(MCQ!$A:$K,ROW()-1+1,7),""),IF(ROW()-1&lt;=$L$2+$M$2,IFERROR(INDEX(CLOZE_AB!$A:$K,ROW()-1-$L$2+1,7),""),IF(ROW()-1&lt;=$L$2+$M$2+$N$2,IFERROR(INDEX(CLOZE_LIST!$A:$K,ROW()-1-$L$2-$M$2+1,7),""),IF(ROW()-1&lt;=$L$2+$M$2+$N$2+$O$2,IFERROR(INDEX(PROFORMA!$A:$K,ROW()-1-$L$2-$M$2-$N$2+1,7),""),"")))))</f>
        <v>0</v>
      </c>
      <c r="H512" s="3">
        <f>IF(ROW()-1&lt;=0,"",IF(ROW()-1&lt;=$L$2,IFERROR(INDEX(MCQ!$A:$K,ROW()-1+1,8),""),IF(ROW()-1&lt;=$L$2+$M$2,IFERROR(INDEX(CLOZE_AB!$A:$K,ROW()-1-$L$2+1,8),""),IF(ROW()-1&lt;=$L$2+$M$2+$N$2,IFERROR(INDEX(CLOZE_LIST!$A:$K,ROW()-1-$L$2-$M$2+1,8),""),IF(ROW()-1&lt;=$L$2+$M$2+$N$2+$O$2,IFERROR(INDEX(PROFORMA!$A:$K,ROW()-1-$L$2-$M$2-$N$2+1,8),""),"")))))</f>
        <v>0</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122</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
      </c>
      <c r="B513" s="3">
        <f>IF(ROW()-1&lt;=0,"",IF(ROW()-1&lt;=$L$2,IFERROR(INDEX(MCQ!$A:$K,ROW()-1+1,2),""),IF(ROW()-1&lt;=$L$2+$M$2,IFERROR(INDEX(CLOZE_AB!$A:$K,ROW()-1-$L$2+1,2),""),IF(ROW()-1&lt;=$L$2+$M$2+$N$2,IFERROR(INDEX(CLOZE_LIST!$A:$K,ROW()-1-$L$2-$M$2+1,2),""),IF(ROW()-1&lt;=$L$2+$M$2+$N$2+$O$2,IFERROR(INDEX(PROFORMA!$A:$K,ROW()-1-$L$2-$M$2-$N$2+1,2),""),"")))))</f>
        <v>0</v>
      </c>
      <c r="C513" s="3">
        <f>IF(ROW()-1&lt;=0,"",IF(ROW()-1&lt;=$L$2,IFERROR(INDEX(MCQ!$A:$K,ROW()-1+1,3),""),IF(ROW()-1&lt;=$L$2+$M$2,IFERROR(INDEX(CLOZE_AB!$A:$K,ROW()-1-$L$2+1,3),""),IF(ROW()-1&lt;=$L$2+$M$2+$N$2,IFERROR(INDEX(CLOZE_LIST!$A:$K,ROW()-1-$L$2-$M$2+1,3),""),IF(ROW()-1&lt;=$L$2+$M$2+$N$2+$O$2,IFERROR(INDEX(PROFORMA!$A:$K,ROW()-1-$L$2-$M$2-$N$2+1,3),""),"")))))</f>
        <v>0</v>
      </c>
      <c r="D513" s="3">
        <f>IF(ROW()-1&lt;=0,"",IF(ROW()-1&lt;=$L$2,IFERROR(INDEX(MCQ!$A:$K,ROW()-1+1,4),""),IF(ROW()-1&lt;=$L$2+$M$2,IFERROR(INDEX(CLOZE_AB!$A:$K,ROW()-1-$L$2+1,4),""),IF(ROW()-1&lt;=$L$2+$M$2+$N$2,IFERROR(INDEX(CLOZE_LIST!$A:$K,ROW()-1-$L$2-$M$2+1,4),""),IF(ROW()-1&lt;=$L$2+$M$2+$N$2+$O$2,IFERROR(INDEX(PROFORMA!$A:$K,ROW()-1-$L$2-$M$2-$N$2+1,4),""),"")))))</f>
        <v>0</v>
      </c>
      <c r="E513" s="3">
        <f>IF(ROW()-1&lt;=0,"",IF(ROW()-1&lt;=$L$2,IFERROR(INDEX(MCQ!$A:$K,ROW()-1+1,5),""),IF(ROW()-1&lt;=$L$2+$M$2,IFERROR(INDEX(CLOZE_AB!$A:$K,ROW()-1-$L$2+1,5),""),IF(ROW()-1&lt;=$L$2+$M$2+$N$2,IFERROR(INDEX(CLOZE_LIST!$A:$K,ROW()-1-$L$2-$M$2+1,5),""),IF(ROW()-1&lt;=$L$2+$M$2+$N$2+$O$2,IFERROR(INDEX(PROFORMA!$A:$K,ROW()-1-$L$2-$M$2-$N$2+1,5),""),"")))))</f>
        <v>0</v>
      </c>
      <c r="F513" s="3">
        <f>IF(ROW()-1&lt;=0,"",IF(ROW()-1&lt;=$L$2,IFERROR(INDEX(MCQ!$A:$K,ROW()-1+1,6),""),IF(ROW()-1&lt;=$L$2+$M$2,IFERROR(INDEX(CLOZE_AB!$A:$K,ROW()-1-$L$2+1,6),""),IF(ROW()-1&lt;=$L$2+$M$2+$N$2,IFERROR(INDEX(CLOZE_LIST!$A:$K,ROW()-1-$L$2-$M$2+1,6),""),IF(ROW()-1&lt;=$L$2+$M$2+$N$2+$O$2,IFERROR(INDEX(PROFORMA!$A:$K,ROW()-1-$L$2-$M$2-$N$2+1,6),""),"")))))</f>
        <v>0</v>
      </c>
      <c r="G513" s="3">
        <f>IF(ROW()-1&lt;=0,"",IF(ROW()-1&lt;=$L$2,IFERROR(INDEX(MCQ!$A:$K,ROW()-1+1,7),""),IF(ROW()-1&lt;=$L$2+$M$2,IFERROR(INDEX(CLOZE_AB!$A:$K,ROW()-1-$L$2+1,7),""),IF(ROW()-1&lt;=$L$2+$M$2+$N$2,IFERROR(INDEX(CLOZE_LIST!$A:$K,ROW()-1-$L$2-$M$2+1,7),""),IF(ROW()-1&lt;=$L$2+$M$2+$N$2+$O$2,IFERROR(INDEX(PROFORMA!$A:$K,ROW()-1-$L$2-$M$2-$N$2+1,7),""),"")))))</f>
        <v>0</v>
      </c>
      <c r="H513" s="3">
        <f>IF(ROW()-1&lt;=0,"",IF(ROW()-1&lt;=$L$2,IFERROR(INDEX(MCQ!$A:$K,ROW()-1+1,8),""),IF(ROW()-1&lt;=$L$2+$M$2,IFERROR(INDEX(CLOZE_AB!$A:$K,ROW()-1-$L$2+1,8),""),IF(ROW()-1&lt;=$L$2+$M$2+$N$2,IFERROR(INDEX(CLOZE_LIST!$A:$K,ROW()-1-$L$2-$M$2+1,8),""),IF(ROW()-1&lt;=$L$2+$M$2+$N$2+$O$2,IFERROR(INDEX(PROFORMA!$A:$K,ROW()-1-$L$2-$M$2-$N$2+1,8),""),"")))))</f>
        <v>0</v>
      </c>
      <c r="I513" s="3">
        <f>IF(ROW()-1&lt;=0,"",IF(ROW()-1&lt;=$L$2,IFERROR(INDEX(MCQ!$A:$K,ROW()-1+1,9),""),IF(ROW()-1&lt;=$L$2+$M$2,IFERROR(INDEX(CLOZE_AB!$A:$K,ROW()-1-$L$2+1,9),""),IF(ROW()-1&lt;=$L$2+$M$2+$N$2,IFERROR(INDEX(CLOZE_LIST!$A:$K,ROW()-1-$L$2-$M$2+1,9),""),IF(ROW()-1&lt;=$L$2+$M$2+$N$2+$O$2,IFERROR(INDEX(PROFORMA!$A:$K,ROW()-1-$L$2-$M$2-$N$2+1,9),""),"")))))</f>
        <v>0</v>
      </c>
      <c r="J513" s="3">
        <f>IF(ROW()-1&lt;=0,"",IF(ROW()-1&lt;=$L$2,IFERROR(INDEX(MCQ!$A:$K,ROW()-1+1,10),""),IF(ROW()-1&lt;=$L$2+$M$2,IFERROR(INDEX(CLOZE_AB!$A:$K,ROW()-1-$L$2+1,10),""),IF(ROW()-1&lt;=$L$2+$M$2+$N$2,IFERROR(INDEX(CLOZE_LIST!$A:$K,ROW()-1-$L$2-$M$2+1,10),""),IF(ROW()-1&lt;=$L$2+$M$2+$N$2+$O$2,IFERROR(INDEX(PROFORMA!$A:$K,ROW()-1-$L$2-$M$2-$N$2+1,10),""),"")))))</f>
        <v>0</v>
      </c>
      <c r="K513" s="3">
        <f>IF(ROW()-1&lt;=0,"",IF(ROW()-1&lt;=$L$2,IFERROR(INDEX(MCQ!$A:$K,ROW()-1+1,11),""),IF(ROW()-1&lt;=$L$2+$M$2,IFERROR(INDEX(CLOZE_AB!$A:$K,ROW()-1-$L$2+1,11),""),IF(ROW()-1&lt;=$L$2+$M$2+$N$2,IFERROR(INDEX(CLOZE_LIST!$A:$K,ROW()-1-$L$2-$M$2+1,11),""),IF(ROW()-1&lt;=$L$2+$M$2+$N$2+$O$2,IFERROR(INDEX(PROFORMA!$A:$K,ROW()-1-$L$2-$M$2-$N$2+1,11),""),"")))))</f>
        <v>0</v>
      </c>
      <c r="L513" s="3">
        <f>COUNTA(MCQ!$A:$A)-1</f>
        <v>122</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
      </c>
      <c r="B514" s="3">
        <f>IF(ROW()-1&lt;=0,"",IF(ROW()-1&lt;=$L$2,IFERROR(INDEX(MCQ!$A:$K,ROW()-1+1,2),""),IF(ROW()-1&lt;=$L$2+$M$2,IFERROR(INDEX(CLOZE_AB!$A:$K,ROW()-1-$L$2+1,2),""),IF(ROW()-1&lt;=$L$2+$M$2+$N$2,IFERROR(INDEX(CLOZE_LIST!$A:$K,ROW()-1-$L$2-$M$2+1,2),""),IF(ROW()-1&lt;=$L$2+$M$2+$N$2+$O$2,IFERROR(INDEX(PROFORMA!$A:$K,ROW()-1-$L$2-$M$2-$N$2+1,2),""),"")))))</f>
        <v>0</v>
      </c>
      <c r="C514" s="3">
        <f>IF(ROW()-1&lt;=0,"",IF(ROW()-1&lt;=$L$2,IFERROR(INDEX(MCQ!$A:$K,ROW()-1+1,3),""),IF(ROW()-1&lt;=$L$2+$M$2,IFERROR(INDEX(CLOZE_AB!$A:$K,ROW()-1-$L$2+1,3),""),IF(ROW()-1&lt;=$L$2+$M$2+$N$2,IFERROR(INDEX(CLOZE_LIST!$A:$K,ROW()-1-$L$2-$M$2+1,3),""),IF(ROW()-1&lt;=$L$2+$M$2+$N$2+$O$2,IFERROR(INDEX(PROFORMA!$A:$K,ROW()-1-$L$2-$M$2-$N$2+1,3),""),"")))))</f>
        <v>0</v>
      </c>
      <c r="D514" s="3">
        <f>IF(ROW()-1&lt;=0,"",IF(ROW()-1&lt;=$L$2,IFERROR(INDEX(MCQ!$A:$K,ROW()-1+1,4),""),IF(ROW()-1&lt;=$L$2+$M$2,IFERROR(INDEX(CLOZE_AB!$A:$K,ROW()-1-$L$2+1,4),""),IF(ROW()-1&lt;=$L$2+$M$2+$N$2,IFERROR(INDEX(CLOZE_LIST!$A:$K,ROW()-1-$L$2-$M$2+1,4),""),IF(ROW()-1&lt;=$L$2+$M$2+$N$2+$O$2,IFERROR(INDEX(PROFORMA!$A:$K,ROW()-1-$L$2-$M$2-$N$2+1,4),""),"")))))</f>
        <v>0</v>
      </c>
      <c r="E514" s="3">
        <f>IF(ROW()-1&lt;=0,"",IF(ROW()-1&lt;=$L$2,IFERROR(INDEX(MCQ!$A:$K,ROW()-1+1,5),""),IF(ROW()-1&lt;=$L$2+$M$2,IFERROR(INDEX(CLOZE_AB!$A:$K,ROW()-1-$L$2+1,5),""),IF(ROW()-1&lt;=$L$2+$M$2+$N$2,IFERROR(INDEX(CLOZE_LIST!$A:$K,ROW()-1-$L$2-$M$2+1,5),""),IF(ROW()-1&lt;=$L$2+$M$2+$N$2+$O$2,IFERROR(INDEX(PROFORMA!$A:$K,ROW()-1-$L$2-$M$2-$N$2+1,5),""),"")))))</f>
        <v>0</v>
      </c>
      <c r="F514" s="3">
        <f>IF(ROW()-1&lt;=0,"",IF(ROW()-1&lt;=$L$2,IFERROR(INDEX(MCQ!$A:$K,ROW()-1+1,6),""),IF(ROW()-1&lt;=$L$2+$M$2,IFERROR(INDEX(CLOZE_AB!$A:$K,ROW()-1-$L$2+1,6),""),IF(ROW()-1&lt;=$L$2+$M$2+$N$2,IFERROR(INDEX(CLOZE_LIST!$A:$K,ROW()-1-$L$2-$M$2+1,6),""),IF(ROW()-1&lt;=$L$2+$M$2+$N$2+$O$2,IFERROR(INDEX(PROFORMA!$A:$K,ROW()-1-$L$2-$M$2-$N$2+1,6),""),"")))))</f>
        <v>0</v>
      </c>
      <c r="G514" s="3">
        <f>IF(ROW()-1&lt;=0,"",IF(ROW()-1&lt;=$L$2,IFERROR(INDEX(MCQ!$A:$K,ROW()-1+1,7),""),IF(ROW()-1&lt;=$L$2+$M$2,IFERROR(INDEX(CLOZE_AB!$A:$K,ROW()-1-$L$2+1,7),""),IF(ROW()-1&lt;=$L$2+$M$2+$N$2,IFERROR(INDEX(CLOZE_LIST!$A:$K,ROW()-1-$L$2-$M$2+1,7),""),IF(ROW()-1&lt;=$L$2+$M$2+$N$2+$O$2,IFERROR(INDEX(PROFORMA!$A:$K,ROW()-1-$L$2-$M$2-$N$2+1,7),""),"")))))</f>
        <v>0</v>
      </c>
      <c r="H514" s="3">
        <f>IF(ROW()-1&lt;=0,"",IF(ROW()-1&lt;=$L$2,IFERROR(INDEX(MCQ!$A:$K,ROW()-1+1,8),""),IF(ROW()-1&lt;=$L$2+$M$2,IFERROR(INDEX(CLOZE_AB!$A:$K,ROW()-1-$L$2+1,8),""),IF(ROW()-1&lt;=$L$2+$M$2+$N$2,IFERROR(INDEX(CLOZE_LIST!$A:$K,ROW()-1-$L$2-$M$2+1,8),""),IF(ROW()-1&lt;=$L$2+$M$2+$N$2+$O$2,IFERROR(INDEX(PROFORMA!$A:$K,ROW()-1-$L$2-$M$2-$N$2+1,8),""),"")))))</f>
        <v>0</v>
      </c>
      <c r="I514" s="3">
        <f>IF(ROW()-1&lt;=0,"",IF(ROW()-1&lt;=$L$2,IFERROR(INDEX(MCQ!$A:$K,ROW()-1+1,9),""),IF(ROW()-1&lt;=$L$2+$M$2,IFERROR(INDEX(CLOZE_AB!$A:$K,ROW()-1-$L$2+1,9),""),IF(ROW()-1&lt;=$L$2+$M$2+$N$2,IFERROR(INDEX(CLOZE_LIST!$A:$K,ROW()-1-$L$2-$M$2+1,9),""),IF(ROW()-1&lt;=$L$2+$M$2+$N$2+$O$2,IFERROR(INDEX(PROFORMA!$A:$K,ROW()-1-$L$2-$M$2-$N$2+1,9),""),"")))))</f>
        <v>0</v>
      </c>
      <c r="J514" s="3">
        <f>IF(ROW()-1&lt;=0,"",IF(ROW()-1&lt;=$L$2,IFERROR(INDEX(MCQ!$A:$K,ROW()-1+1,10),""),IF(ROW()-1&lt;=$L$2+$M$2,IFERROR(INDEX(CLOZE_AB!$A:$K,ROW()-1-$L$2+1,10),""),IF(ROW()-1&lt;=$L$2+$M$2+$N$2,IFERROR(INDEX(CLOZE_LIST!$A:$K,ROW()-1-$L$2-$M$2+1,10),""),IF(ROW()-1&lt;=$L$2+$M$2+$N$2+$O$2,IFERROR(INDEX(PROFORMA!$A:$K,ROW()-1-$L$2-$M$2-$N$2+1,10),""),"")))))</f>
        <v>0</v>
      </c>
      <c r="K514" s="3">
        <f>IF(ROW()-1&lt;=0,"",IF(ROW()-1&lt;=$L$2,IFERROR(INDEX(MCQ!$A:$K,ROW()-1+1,11),""),IF(ROW()-1&lt;=$L$2+$M$2,IFERROR(INDEX(CLOZE_AB!$A:$K,ROW()-1-$L$2+1,11),""),IF(ROW()-1&lt;=$L$2+$M$2+$N$2,IFERROR(INDEX(CLOZE_LIST!$A:$K,ROW()-1-$L$2-$M$2+1,11),""),IF(ROW()-1&lt;=$L$2+$M$2+$N$2+$O$2,IFERROR(INDEX(PROFORMA!$A:$K,ROW()-1-$L$2-$M$2-$N$2+1,11),""),"")))))</f>
        <v>0</v>
      </c>
      <c r="L514" s="3">
        <f>COUNTA(MCQ!$A:$A)-1</f>
        <v>122</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
      </c>
      <c r="B515" s="3">
        <f>IF(ROW()-1&lt;=0,"",IF(ROW()-1&lt;=$L$2,IFERROR(INDEX(MCQ!$A:$K,ROW()-1+1,2),""),IF(ROW()-1&lt;=$L$2+$M$2,IFERROR(INDEX(CLOZE_AB!$A:$K,ROW()-1-$L$2+1,2),""),IF(ROW()-1&lt;=$L$2+$M$2+$N$2,IFERROR(INDEX(CLOZE_LIST!$A:$K,ROW()-1-$L$2-$M$2+1,2),""),IF(ROW()-1&lt;=$L$2+$M$2+$N$2+$O$2,IFERROR(INDEX(PROFORMA!$A:$K,ROW()-1-$L$2-$M$2-$N$2+1,2),""),"")))))</f>
        <v>0</v>
      </c>
      <c r="C515" s="3">
        <f>IF(ROW()-1&lt;=0,"",IF(ROW()-1&lt;=$L$2,IFERROR(INDEX(MCQ!$A:$K,ROW()-1+1,3),""),IF(ROW()-1&lt;=$L$2+$M$2,IFERROR(INDEX(CLOZE_AB!$A:$K,ROW()-1-$L$2+1,3),""),IF(ROW()-1&lt;=$L$2+$M$2+$N$2,IFERROR(INDEX(CLOZE_LIST!$A:$K,ROW()-1-$L$2-$M$2+1,3),""),IF(ROW()-1&lt;=$L$2+$M$2+$N$2+$O$2,IFERROR(INDEX(PROFORMA!$A:$K,ROW()-1-$L$2-$M$2-$N$2+1,3),""),"")))))</f>
        <v>0</v>
      </c>
      <c r="D515" s="3">
        <f>IF(ROW()-1&lt;=0,"",IF(ROW()-1&lt;=$L$2,IFERROR(INDEX(MCQ!$A:$K,ROW()-1+1,4),""),IF(ROW()-1&lt;=$L$2+$M$2,IFERROR(INDEX(CLOZE_AB!$A:$K,ROW()-1-$L$2+1,4),""),IF(ROW()-1&lt;=$L$2+$M$2+$N$2,IFERROR(INDEX(CLOZE_LIST!$A:$K,ROW()-1-$L$2-$M$2+1,4),""),IF(ROW()-1&lt;=$L$2+$M$2+$N$2+$O$2,IFERROR(INDEX(PROFORMA!$A:$K,ROW()-1-$L$2-$M$2-$N$2+1,4),""),"")))))</f>
        <v>0</v>
      </c>
      <c r="E515" s="3">
        <f>IF(ROW()-1&lt;=0,"",IF(ROW()-1&lt;=$L$2,IFERROR(INDEX(MCQ!$A:$K,ROW()-1+1,5),""),IF(ROW()-1&lt;=$L$2+$M$2,IFERROR(INDEX(CLOZE_AB!$A:$K,ROW()-1-$L$2+1,5),""),IF(ROW()-1&lt;=$L$2+$M$2+$N$2,IFERROR(INDEX(CLOZE_LIST!$A:$K,ROW()-1-$L$2-$M$2+1,5),""),IF(ROW()-1&lt;=$L$2+$M$2+$N$2+$O$2,IFERROR(INDEX(PROFORMA!$A:$K,ROW()-1-$L$2-$M$2-$N$2+1,5),""),"")))))</f>
        <v>0</v>
      </c>
      <c r="F515" s="3">
        <f>IF(ROW()-1&lt;=0,"",IF(ROW()-1&lt;=$L$2,IFERROR(INDEX(MCQ!$A:$K,ROW()-1+1,6),""),IF(ROW()-1&lt;=$L$2+$M$2,IFERROR(INDEX(CLOZE_AB!$A:$K,ROW()-1-$L$2+1,6),""),IF(ROW()-1&lt;=$L$2+$M$2+$N$2,IFERROR(INDEX(CLOZE_LIST!$A:$K,ROW()-1-$L$2-$M$2+1,6),""),IF(ROW()-1&lt;=$L$2+$M$2+$N$2+$O$2,IFERROR(INDEX(PROFORMA!$A:$K,ROW()-1-$L$2-$M$2-$N$2+1,6),""),"")))))</f>
        <v>0</v>
      </c>
      <c r="G515" s="3">
        <f>IF(ROW()-1&lt;=0,"",IF(ROW()-1&lt;=$L$2,IFERROR(INDEX(MCQ!$A:$K,ROW()-1+1,7),""),IF(ROW()-1&lt;=$L$2+$M$2,IFERROR(INDEX(CLOZE_AB!$A:$K,ROW()-1-$L$2+1,7),""),IF(ROW()-1&lt;=$L$2+$M$2+$N$2,IFERROR(INDEX(CLOZE_LIST!$A:$K,ROW()-1-$L$2-$M$2+1,7),""),IF(ROW()-1&lt;=$L$2+$M$2+$N$2+$O$2,IFERROR(INDEX(PROFORMA!$A:$K,ROW()-1-$L$2-$M$2-$N$2+1,7),""),"")))))</f>
        <v>0</v>
      </c>
      <c r="H515" s="3">
        <f>IF(ROW()-1&lt;=0,"",IF(ROW()-1&lt;=$L$2,IFERROR(INDEX(MCQ!$A:$K,ROW()-1+1,8),""),IF(ROW()-1&lt;=$L$2+$M$2,IFERROR(INDEX(CLOZE_AB!$A:$K,ROW()-1-$L$2+1,8),""),IF(ROW()-1&lt;=$L$2+$M$2+$N$2,IFERROR(INDEX(CLOZE_LIST!$A:$K,ROW()-1-$L$2-$M$2+1,8),""),IF(ROW()-1&lt;=$L$2+$M$2+$N$2+$O$2,IFERROR(INDEX(PROFORMA!$A:$K,ROW()-1-$L$2-$M$2-$N$2+1,8),""),"")))))</f>
        <v>0</v>
      </c>
      <c r="I515" s="3">
        <f>IF(ROW()-1&lt;=0,"",IF(ROW()-1&lt;=$L$2,IFERROR(INDEX(MCQ!$A:$K,ROW()-1+1,9),""),IF(ROW()-1&lt;=$L$2+$M$2,IFERROR(INDEX(CLOZE_AB!$A:$K,ROW()-1-$L$2+1,9),""),IF(ROW()-1&lt;=$L$2+$M$2+$N$2,IFERROR(INDEX(CLOZE_LIST!$A:$K,ROW()-1-$L$2-$M$2+1,9),""),IF(ROW()-1&lt;=$L$2+$M$2+$N$2+$O$2,IFERROR(INDEX(PROFORMA!$A:$K,ROW()-1-$L$2-$M$2-$N$2+1,9),""),"")))))</f>
        <v>0</v>
      </c>
      <c r="J515" s="3">
        <f>IF(ROW()-1&lt;=0,"",IF(ROW()-1&lt;=$L$2,IFERROR(INDEX(MCQ!$A:$K,ROW()-1+1,10),""),IF(ROW()-1&lt;=$L$2+$M$2,IFERROR(INDEX(CLOZE_AB!$A:$K,ROW()-1-$L$2+1,10),""),IF(ROW()-1&lt;=$L$2+$M$2+$N$2,IFERROR(INDEX(CLOZE_LIST!$A:$K,ROW()-1-$L$2-$M$2+1,10),""),IF(ROW()-1&lt;=$L$2+$M$2+$N$2+$O$2,IFERROR(INDEX(PROFORMA!$A:$K,ROW()-1-$L$2-$M$2-$N$2+1,10),""),"")))))</f>
        <v>0</v>
      </c>
      <c r="K515" s="3">
        <f>IF(ROW()-1&lt;=0,"",IF(ROW()-1&lt;=$L$2,IFERROR(INDEX(MCQ!$A:$K,ROW()-1+1,11),""),IF(ROW()-1&lt;=$L$2+$M$2,IFERROR(INDEX(CLOZE_AB!$A:$K,ROW()-1-$L$2+1,11),""),IF(ROW()-1&lt;=$L$2+$M$2+$N$2,IFERROR(INDEX(CLOZE_LIST!$A:$K,ROW()-1-$L$2-$M$2+1,11),""),IF(ROW()-1&lt;=$L$2+$M$2+$N$2+$O$2,IFERROR(INDEX(PROFORMA!$A:$K,ROW()-1-$L$2-$M$2-$N$2+1,11),""),"")))))</f>
        <v>0</v>
      </c>
      <c r="L515" s="3">
        <f>COUNTA(MCQ!$A:$A)-1</f>
        <v>122</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
      </c>
      <c r="B516" s="3">
        <f>IF(ROW()-1&lt;=0,"",IF(ROW()-1&lt;=$L$2,IFERROR(INDEX(MCQ!$A:$K,ROW()-1+1,2),""),IF(ROW()-1&lt;=$L$2+$M$2,IFERROR(INDEX(CLOZE_AB!$A:$K,ROW()-1-$L$2+1,2),""),IF(ROW()-1&lt;=$L$2+$M$2+$N$2,IFERROR(INDEX(CLOZE_LIST!$A:$K,ROW()-1-$L$2-$M$2+1,2),""),IF(ROW()-1&lt;=$L$2+$M$2+$N$2+$O$2,IFERROR(INDEX(PROFORMA!$A:$K,ROW()-1-$L$2-$M$2-$N$2+1,2),""),"")))))</f>
        <v>0</v>
      </c>
      <c r="C516" s="3">
        <f>IF(ROW()-1&lt;=0,"",IF(ROW()-1&lt;=$L$2,IFERROR(INDEX(MCQ!$A:$K,ROW()-1+1,3),""),IF(ROW()-1&lt;=$L$2+$M$2,IFERROR(INDEX(CLOZE_AB!$A:$K,ROW()-1-$L$2+1,3),""),IF(ROW()-1&lt;=$L$2+$M$2+$N$2,IFERROR(INDEX(CLOZE_LIST!$A:$K,ROW()-1-$L$2-$M$2+1,3),""),IF(ROW()-1&lt;=$L$2+$M$2+$N$2+$O$2,IFERROR(INDEX(PROFORMA!$A:$K,ROW()-1-$L$2-$M$2-$N$2+1,3),""),"")))))</f>
        <v>0</v>
      </c>
      <c r="D516" s="3">
        <f>IF(ROW()-1&lt;=0,"",IF(ROW()-1&lt;=$L$2,IFERROR(INDEX(MCQ!$A:$K,ROW()-1+1,4),""),IF(ROW()-1&lt;=$L$2+$M$2,IFERROR(INDEX(CLOZE_AB!$A:$K,ROW()-1-$L$2+1,4),""),IF(ROW()-1&lt;=$L$2+$M$2+$N$2,IFERROR(INDEX(CLOZE_LIST!$A:$K,ROW()-1-$L$2-$M$2+1,4),""),IF(ROW()-1&lt;=$L$2+$M$2+$N$2+$O$2,IFERROR(INDEX(PROFORMA!$A:$K,ROW()-1-$L$2-$M$2-$N$2+1,4),""),"")))))</f>
        <v>0</v>
      </c>
      <c r="E516" s="3">
        <f>IF(ROW()-1&lt;=0,"",IF(ROW()-1&lt;=$L$2,IFERROR(INDEX(MCQ!$A:$K,ROW()-1+1,5),""),IF(ROW()-1&lt;=$L$2+$M$2,IFERROR(INDEX(CLOZE_AB!$A:$K,ROW()-1-$L$2+1,5),""),IF(ROW()-1&lt;=$L$2+$M$2+$N$2,IFERROR(INDEX(CLOZE_LIST!$A:$K,ROW()-1-$L$2-$M$2+1,5),""),IF(ROW()-1&lt;=$L$2+$M$2+$N$2+$O$2,IFERROR(INDEX(PROFORMA!$A:$K,ROW()-1-$L$2-$M$2-$N$2+1,5),""),"")))))</f>
        <v>0</v>
      </c>
      <c r="F516" s="3">
        <f>IF(ROW()-1&lt;=0,"",IF(ROW()-1&lt;=$L$2,IFERROR(INDEX(MCQ!$A:$K,ROW()-1+1,6),""),IF(ROW()-1&lt;=$L$2+$M$2,IFERROR(INDEX(CLOZE_AB!$A:$K,ROW()-1-$L$2+1,6),""),IF(ROW()-1&lt;=$L$2+$M$2+$N$2,IFERROR(INDEX(CLOZE_LIST!$A:$K,ROW()-1-$L$2-$M$2+1,6),""),IF(ROW()-1&lt;=$L$2+$M$2+$N$2+$O$2,IFERROR(INDEX(PROFORMA!$A:$K,ROW()-1-$L$2-$M$2-$N$2+1,6),""),"")))))</f>
        <v>0</v>
      </c>
      <c r="G516" s="3">
        <f>IF(ROW()-1&lt;=0,"",IF(ROW()-1&lt;=$L$2,IFERROR(INDEX(MCQ!$A:$K,ROW()-1+1,7),""),IF(ROW()-1&lt;=$L$2+$M$2,IFERROR(INDEX(CLOZE_AB!$A:$K,ROW()-1-$L$2+1,7),""),IF(ROW()-1&lt;=$L$2+$M$2+$N$2,IFERROR(INDEX(CLOZE_LIST!$A:$K,ROW()-1-$L$2-$M$2+1,7),""),IF(ROW()-1&lt;=$L$2+$M$2+$N$2+$O$2,IFERROR(INDEX(PROFORMA!$A:$K,ROW()-1-$L$2-$M$2-$N$2+1,7),""),"")))))</f>
        <v>0</v>
      </c>
      <c r="H516" s="3">
        <f>IF(ROW()-1&lt;=0,"",IF(ROW()-1&lt;=$L$2,IFERROR(INDEX(MCQ!$A:$K,ROW()-1+1,8),""),IF(ROW()-1&lt;=$L$2+$M$2,IFERROR(INDEX(CLOZE_AB!$A:$K,ROW()-1-$L$2+1,8),""),IF(ROW()-1&lt;=$L$2+$M$2+$N$2,IFERROR(INDEX(CLOZE_LIST!$A:$K,ROW()-1-$L$2-$M$2+1,8),""),IF(ROW()-1&lt;=$L$2+$M$2+$N$2+$O$2,IFERROR(INDEX(PROFORMA!$A:$K,ROW()-1-$L$2-$M$2-$N$2+1,8),""),"")))))</f>
        <v>0</v>
      </c>
      <c r="I516" s="3">
        <f>IF(ROW()-1&lt;=0,"",IF(ROW()-1&lt;=$L$2,IFERROR(INDEX(MCQ!$A:$K,ROW()-1+1,9),""),IF(ROW()-1&lt;=$L$2+$M$2,IFERROR(INDEX(CLOZE_AB!$A:$K,ROW()-1-$L$2+1,9),""),IF(ROW()-1&lt;=$L$2+$M$2+$N$2,IFERROR(INDEX(CLOZE_LIST!$A:$K,ROW()-1-$L$2-$M$2+1,9),""),IF(ROW()-1&lt;=$L$2+$M$2+$N$2+$O$2,IFERROR(INDEX(PROFORMA!$A:$K,ROW()-1-$L$2-$M$2-$N$2+1,9),""),"")))))</f>
        <v>0</v>
      </c>
      <c r="J516" s="3">
        <f>IF(ROW()-1&lt;=0,"",IF(ROW()-1&lt;=$L$2,IFERROR(INDEX(MCQ!$A:$K,ROW()-1+1,10),""),IF(ROW()-1&lt;=$L$2+$M$2,IFERROR(INDEX(CLOZE_AB!$A:$K,ROW()-1-$L$2+1,10),""),IF(ROW()-1&lt;=$L$2+$M$2+$N$2,IFERROR(INDEX(CLOZE_LIST!$A:$K,ROW()-1-$L$2-$M$2+1,10),""),IF(ROW()-1&lt;=$L$2+$M$2+$N$2+$O$2,IFERROR(INDEX(PROFORMA!$A:$K,ROW()-1-$L$2-$M$2-$N$2+1,10),""),"")))))</f>
        <v>0</v>
      </c>
      <c r="K516" s="3">
        <f>IF(ROW()-1&lt;=0,"",IF(ROW()-1&lt;=$L$2,IFERROR(INDEX(MCQ!$A:$K,ROW()-1+1,11),""),IF(ROW()-1&lt;=$L$2+$M$2,IFERROR(INDEX(CLOZE_AB!$A:$K,ROW()-1-$L$2+1,11),""),IF(ROW()-1&lt;=$L$2+$M$2+$N$2,IFERROR(INDEX(CLOZE_LIST!$A:$K,ROW()-1-$L$2-$M$2+1,11),""),IF(ROW()-1&lt;=$L$2+$M$2+$N$2+$O$2,IFERROR(INDEX(PROFORMA!$A:$K,ROW()-1-$L$2-$M$2-$N$2+1,11),""),"")))))</f>
        <v>0</v>
      </c>
      <c r="L516" s="3">
        <f>COUNTA(MCQ!$A:$A)-1</f>
        <v>122</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
      </c>
      <c r="B517" s="3">
        <f>IF(ROW()-1&lt;=0,"",IF(ROW()-1&lt;=$L$2,IFERROR(INDEX(MCQ!$A:$K,ROW()-1+1,2),""),IF(ROW()-1&lt;=$L$2+$M$2,IFERROR(INDEX(CLOZE_AB!$A:$K,ROW()-1-$L$2+1,2),""),IF(ROW()-1&lt;=$L$2+$M$2+$N$2,IFERROR(INDEX(CLOZE_LIST!$A:$K,ROW()-1-$L$2-$M$2+1,2),""),IF(ROW()-1&lt;=$L$2+$M$2+$N$2+$O$2,IFERROR(INDEX(PROFORMA!$A:$K,ROW()-1-$L$2-$M$2-$N$2+1,2),""),"")))))</f>
        <v>0</v>
      </c>
      <c r="C517" s="3">
        <f>IF(ROW()-1&lt;=0,"",IF(ROW()-1&lt;=$L$2,IFERROR(INDEX(MCQ!$A:$K,ROW()-1+1,3),""),IF(ROW()-1&lt;=$L$2+$M$2,IFERROR(INDEX(CLOZE_AB!$A:$K,ROW()-1-$L$2+1,3),""),IF(ROW()-1&lt;=$L$2+$M$2+$N$2,IFERROR(INDEX(CLOZE_LIST!$A:$K,ROW()-1-$L$2-$M$2+1,3),""),IF(ROW()-1&lt;=$L$2+$M$2+$N$2+$O$2,IFERROR(INDEX(PROFORMA!$A:$K,ROW()-1-$L$2-$M$2-$N$2+1,3),""),"")))))</f>
        <v>0</v>
      </c>
      <c r="D517" s="3">
        <f>IF(ROW()-1&lt;=0,"",IF(ROW()-1&lt;=$L$2,IFERROR(INDEX(MCQ!$A:$K,ROW()-1+1,4),""),IF(ROW()-1&lt;=$L$2+$M$2,IFERROR(INDEX(CLOZE_AB!$A:$K,ROW()-1-$L$2+1,4),""),IF(ROW()-1&lt;=$L$2+$M$2+$N$2,IFERROR(INDEX(CLOZE_LIST!$A:$K,ROW()-1-$L$2-$M$2+1,4),""),IF(ROW()-1&lt;=$L$2+$M$2+$N$2+$O$2,IFERROR(INDEX(PROFORMA!$A:$K,ROW()-1-$L$2-$M$2-$N$2+1,4),""),"")))))</f>
        <v>0</v>
      </c>
      <c r="E517" s="3">
        <f>IF(ROW()-1&lt;=0,"",IF(ROW()-1&lt;=$L$2,IFERROR(INDEX(MCQ!$A:$K,ROW()-1+1,5),""),IF(ROW()-1&lt;=$L$2+$M$2,IFERROR(INDEX(CLOZE_AB!$A:$K,ROW()-1-$L$2+1,5),""),IF(ROW()-1&lt;=$L$2+$M$2+$N$2,IFERROR(INDEX(CLOZE_LIST!$A:$K,ROW()-1-$L$2-$M$2+1,5),""),IF(ROW()-1&lt;=$L$2+$M$2+$N$2+$O$2,IFERROR(INDEX(PROFORMA!$A:$K,ROW()-1-$L$2-$M$2-$N$2+1,5),""),"")))))</f>
        <v>0</v>
      </c>
      <c r="F517" s="3">
        <f>IF(ROW()-1&lt;=0,"",IF(ROW()-1&lt;=$L$2,IFERROR(INDEX(MCQ!$A:$K,ROW()-1+1,6),""),IF(ROW()-1&lt;=$L$2+$M$2,IFERROR(INDEX(CLOZE_AB!$A:$K,ROW()-1-$L$2+1,6),""),IF(ROW()-1&lt;=$L$2+$M$2+$N$2,IFERROR(INDEX(CLOZE_LIST!$A:$K,ROW()-1-$L$2-$M$2+1,6),""),IF(ROW()-1&lt;=$L$2+$M$2+$N$2+$O$2,IFERROR(INDEX(PROFORMA!$A:$K,ROW()-1-$L$2-$M$2-$N$2+1,6),""),"")))))</f>
        <v>0</v>
      </c>
      <c r="G517" s="3">
        <f>IF(ROW()-1&lt;=0,"",IF(ROW()-1&lt;=$L$2,IFERROR(INDEX(MCQ!$A:$K,ROW()-1+1,7),""),IF(ROW()-1&lt;=$L$2+$M$2,IFERROR(INDEX(CLOZE_AB!$A:$K,ROW()-1-$L$2+1,7),""),IF(ROW()-1&lt;=$L$2+$M$2+$N$2,IFERROR(INDEX(CLOZE_LIST!$A:$K,ROW()-1-$L$2-$M$2+1,7),""),IF(ROW()-1&lt;=$L$2+$M$2+$N$2+$O$2,IFERROR(INDEX(PROFORMA!$A:$K,ROW()-1-$L$2-$M$2-$N$2+1,7),""),"")))))</f>
        <v>0</v>
      </c>
      <c r="H517" s="3">
        <f>IF(ROW()-1&lt;=0,"",IF(ROW()-1&lt;=$L$2,IFERROR(INDEX(MCQ!$A:$K,ROW()-1+1,8),""),IF(ROW()-1&lt;=$L$2+$M$2,IFERROR(INDEX(CLOZE_AB!$A:$K,ROW()-1-$L$2+1,8),""),IF(ROW()-1&lt;=$L$2+$M$2+$N$2,IFERROR(INDEX(CLOZE_LIST!$A:$K,ROW()-1-$L$2-$M$2+1,8),""),IF(ROW()-1&lt;=$L$2+$M$2+$N$2+$O$2,IFERROR(INDEX(PROFORMA!$A:$K,ROW()-1-$L$2-$M$2-$N$2+1,8),""),"")))))</f>
        <v>0</v>
      </c>
      <c r="I517" s="3">
        <f>IF(ROW()-1&lt;=0,"",IF(ROW()-1&lt;=$L$2,IFERROR(INDEX(MCQ!$A:$K,ROW()-1+1,9),""),IF(ROW()-1&lt;=$L$2+$M$2,IFERROR(INDEX(CLOZE_AB!$A:$K,ROW()-1-$L$2+1,9),""),IF(ROW()-1&lt;=$L$2+$M$2+$N$2,IFERROR(INDEX(CLOZE_LIST!$A:$K,ROW()-1-$L$2-$M$2+1,9),""),IF(ROW()-1&lt;=$L$2+$M$2+$N$2+$O$2,IFERROR(INDEX(PROFORMA!$A:$K,ROW()-1-$L$2-$M$2-$N$2+1,9),""),"")))))</f>
        <v>0</v>
      </c>
      <c r="J517" s="3">
        <f>IF(ROW()-1&lt;=0,"",IF(ROW()-1&lt;=$L$2,IFERROR(INDEX(MCQ!$A:$K,ROW()-1+1,10),""),IF(ROW()-1&lt;=$L$2+$M$2,IFERROR(INDEX(CLOZE_AB!$A:$K,ROW()-1-$L$2+1,10),""),IF(ROW()-1&lt;=$L$2+$M$2+$N$2,IFERROR(INDEX(CLOZE_LIST!$A:$K,ROW()-1-$L$2-$M$2+1,10),""),IF(ROW()-1&lt;=$L$2+$M$2+$N$2+$O$2,IFERROR(INDEX(PROFORMA!$A:$K,ROW()-1-$L$2-$M$2-$N$2+1,10),""),"")))))</f>
        <v>0</v>
      </c>
      <c r="K517" s="3">
        <f>IF(ROW()-1&lt;=0,"",IF(ROW()-1&lt;=$L$2,IFERROR(INDEX(MCQ!$A:$K,ROW()-1+1,11),""),IF(ROW()-1&lt;=$L$2+$M$2,IFERROR(INDEX(CLOZE_AB!$A:$K,ROW()-1-$L$2+1,11),""),IF(ROW()-1&lt;=$L$2+$M$2+$N$2,IFERROR(INDEX(CLOZE_LIST!$A:$K,ROW()-1-$L$2-$M$2+1,11),""),IF(ROW()-1&lt;=$L$2+$M$2+$N$2+$O$2,IFERROR(INDEX(PROFORMA!$A:$K,ROW()-1-$L$2-$M$2-$N$2+1,11),""),"")))))</f>
        <v>0</v>
      </c>
      <c r="L517" s="3">
        <f>COUNTA(MCQ!$A:$A)-1</f>
        <v>122</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122</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122</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122</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122</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122</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122</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122</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122</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122</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122</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122</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122</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122</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122</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122</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122</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122</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122</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122</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122</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122</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122</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122</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122</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122</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122</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122</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122</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122</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122</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122</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122</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122</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122</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122</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122</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122</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122</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122</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122</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122</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122</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122</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122</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122</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122</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122</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122</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122</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122</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122</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122</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122</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122</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122</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122</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122</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122</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122</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122</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122</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122</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122</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122</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122</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122</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122</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122</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122</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122</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122</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122</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122</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122</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122</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122</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122</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122</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122</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122</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122</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122</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122</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122</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122</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122</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122</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122</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122</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122</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122</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122</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122</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122</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122</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122</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122</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122</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122</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122</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122</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122</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122</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122</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122</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122</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122</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122</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122</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122</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122</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122</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122</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122</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122</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122</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122</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122</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122</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122</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122</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122</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122</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122</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122</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122</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122</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122</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122</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122</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122</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122</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122</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122</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122</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122</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122</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122</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122</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122</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122</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122</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122</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122</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122</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122</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122</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122</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122</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122</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122</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122</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122</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122</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122</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122</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122</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122</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122</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122</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122</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122</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122</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122</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122</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122</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122</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122</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122</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122</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122</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122</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t="str">
        <f>IF(ROW()-1&lt;=0,"",IF(ROW()-1&lt;=$L$2,IFERROR(INDEX(MCQ!$A:$K,ROW()-1+1,2),""),IF(ROW()-1&lt;=$L$2+$M$2,IFERROR(INDEX(CLOZE_AB!$A:$K,ROW()-1-$L$2+1,2),""),IF(ROW()-1&lt;=$L$2+$M$2+$N$2,IFERROR(INDEX(CLOZE_LIST!$A:$K,ROW()-1-$L$2-$M$2+1,2),""),IF(ROW()-1&lt;=$L$2+$M$2+$N$2+$O$2,IFERROR(INDEX(PROFORMA!$A:$K,ROW()-1-$L$2-$M$2-$N$2+1,2),""),"")))))</f>
        <v/>
      </c>
      <c r="C690" s="3" t="str">
        <f>IF(ROW()-1&lt;=0,"",IF(ROW()-1&lt;=$L$2,IFERROR(INDEX(MCQ!$A:$K,ROW()-1+1,3),""),IF(ROW()-1&lt;=$L$2+$M$2,IFERROR(INDEX(CLOZE_AB!$A:$K,ROW()-1-$L$2+1,3),""),IF(ROW()-1&lt;=$L$2+$M$2+$N$2,IFERROR(INDEX(CLOZE_LIST!$A:$K,ROW()-1-$L$2-$M$2+1,3),""),IF(ROW()-1&lt;=$L$2+$M$2+$N$2+$O$2,IFERROR(INDEX(PROFORMA!$A:$K,ROW()-1-$L$2-$M$2-$N$2+1,3),""),"")))))</f>
        <v/>
      </c>
      <c r="D690" s="3" t="str">
        <f>IF(ROW()-1&lt;=0,"",IF(ROW()-1&lt;=$L$2,IFERROR(INDEX(MCQ!$A:$K,ROW()-1+1,4),""),IF(ROW()-1&lt;=$L$2+$M$2,IFERROR(INDEX(CLOZE_AB!$A:$K,ROW()-1-$L$2+1,4),""),IF(ROW()-1&lt;=$L$2+$M$2+$N$2,IFERROR(INDEX(CLOZE_LIST!$A:$K,ROW()-1-$L$2-$M$2+1,4),""),IF(ROW()-1&lt;=$L$2+$M$2+$N$2+$O$2,IFERROR(INDEX(PROFORMA!$A:$K,ROW()-1-$L$2-$M$2-$N$2+1,4),""),"")))))</f>
        <v/>
      </c>
      <c r="E690" s="3" t="str">
        <f>IF(ROW()-1&lt;=0,"",IF(ROW()-1&lt;=$L$2,IFERROR(INDEX(MCQ!$A:$K,ROW()-1+1,5),""),IF(ROW()-1&lt;=$L$2+$M$2,IFERROR(INDEX(CLOZE_AB!$A:$K,ROW()-1-$L$2+1,5),""),IF(ROW()-1&lt;=$L$2+$M$2+$N$2,IFERROR(INDEX(CLOZE_LIST!$A:$K,ROW()-1-$L$2-$M$2+1,5),""),IF(ROW()-1&lt;=$L$2+$M$2+$N$2+$O$2,IFERROR(INDEX(PROFORMA!$A:$K,ROW()-1-$L$2-$M$2-$N$2+1,5),""),"")))))</f>
        <v/>
      </c>
      <c r="F690" s="3" t="str">
        <f>IF(ROW()-1&lt;=0,"",IF(ROW()-1&lt;=$L$2,IFERROR(INDEX(MCQ!$A:$K,ROW()-1+1,6),""),IF(ROW()-1&lt;=$L$2+$M$2,IFERROR(INDEX(CLOZE_AB!$A:$K,ROW()-1-$L$2+1,6),""),IF(ROW()-1&lt;=$L$2+$M$2+$N$2,IFERROR(INDEX(CLOZE_LIST!$A:$K,ROW()-1-$L$2-$M$2+1,6),""),IF(ROW()-1&lt;=$L$2+$M$2+$N$2+$O$2,IFERROR(INDEX(PROFORMA!$A:$K,ROW()-1-$L$2-$M$2-$N$2+1,6),""),"")))))</f>
        <v/>
      </c>
      <c r="G690" s="3" t="str">
        <f>IF(ROW()-1&lt;=0,"",IF(ROW()-1&lt;=$L$2,IFERROR(INDEX(MCQ!$A:$K,ROW()-1+1,7),""),IF(ROW()-1&lt;=$L$2+$M$2,IFERROR(INDEX(CLOZE_AB!$A:$K,ROW()-1-$L$2+1,7),""),IF(ROW()-1&lt;=$L$2+$M$2+$N$2,IFERROR(INDEX(CLOZE_LIST!$A:$K,ROW()-1-$L$2-$M$2+1,7),""),IF(ROW()-1&lt;=$L$2+$M$2+$N$2+$O$2,IFERROR(INDEX(PROFORMA!$A:$K,ROW()-1-$L$2-$M$2-$N$2+1,7),""),"")))))</f>
        <v/>
      </c>
      <c r="H690" s="3" t="str">
        <f>IF(ROW()-1&lt;=0,"",IF(ROW()-1&lt;=$L$2,IFERROR(INDEX(MCQ!$A:$K,ROW()-1+1,8),""),IF(ROW()-1&lt;=$L$2+$M$2,IFERROR(INDEX(CLOZE_AB!$A:$K,ROW()-1-$L$2+1,8),""),IF(ROW()-1&lt;=$L$2+$M$2+$N$2,IFERROR(INDEX(CLOZE_LIST!$A:$K,ROW()-1-$L$2-$M$2+1,8),""),IF(ROW()-1&lt;=$L$2+$M$2+$N$2+$O$2,IFERROR(INDEX(PROFORMA!$A:$K,ROW()-1-$L$2-$M$2-$N$2+1,8),""),"")))))</f>
        <v/>
      </c>
      <c r="I690" s="3" t="str">
        <f>IF(ROW()-1&lt;=0,"",IF(ROW()-1&lt;=$L$2,IFERROR(INDEX(MCQ!$A:$K,ROW()-1+1,9),""),IF(ROW()-1&lt;=$L$2+$M$2,IFERROR(INDEX(CLOZE_AB!$A:$K,ROW()-1-$L$2+1,9),""),IF(ROW()-1&lt;=$L$2+$M$2+$N$2,IFERROR(INDEX(CLOZE_LIST!$A:$K,ROW()-1-$L$2-$M$2+1,9),""),IF(ROW()-1&lt;=$L$2+$M$2+$N$2+$O$2,IFERROR(INDEX(PROFORMA!$A:$K,ROW()-1-$L$2-$M$2-$N$2+1,9),""),"")))))</f>
        <v/>
      </c>
      <c r="J690" s="3" t="str">
        <f>IF(ROW()-1&lt;=0,"",IF(ROW()-1&lt;=$L$2,IFERROR(INDEX(MCQ!$A:$K,ROW()-1+1,10),""),IF(ROW()-1&lt;=$L$2+$M$2,IFERROR(INDEX(CLOZE_AB!$A:$K,ROW()-1-$L$2+1,10),""),IF(ROW()-1&lt;=$L$2+$M$2+$N$2,IFERROR(INDEX(CLOZE_LIST!$A:$K,ROW()-1-$L$2-$M$2+1,10),""),IF(ROW()-1&lt;=$L$2+$M$2+$N$2+$O$2,IFERROR(INDEX(PROFORMA!$A:$K,ROW()-1-$L$2-$M$2-$N$2+1,10),""),"")))))</f>
        <v/>
      </c>
      <c r="K690" s="3" t="str">
        <f>IF(ROW()-1&lt;=0,"",IF(ROW()-1&lt;=$L$2,IFERROR(INDEX(MCQ!$A:$K,ROW()-1+1,11),""),IF(ROW()-1&lt;=$L$2+$M$2,IFERROR(INDEX(CLOZE_AB!$A:$K,ROW()-1-$L$2+1,11),""),IF(ROW()-1&lt;=$L$2+$M$2+$N$2,IFERROR(INDEX(CLOZE_LIST!$A:$K,ROW()-1-$L$2-$M$2+1,11),""),IF(ROW()-1&lt;=$L$2+$M$2+$N$2+$O$2,IFERROR(INDEX(PROFORMA!$A:$K,ROW()-1-$L$2-$M$2-$N$2+1,11),""),"")))))</f>
        <v/>
      </c>
      <c r="L690" s="3">
        <f>COUNTA(MCQ!$A:$A)-1</f>
        <v>122</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t="str">
        <f>IF(ROW()-1&lt;=0,"",IF(ROW()-1&lt;=$L$2,IFERROR(INDEX(MCQ!$A:$K,ROW()-1+1,2),""),IF(ROW()-1&lt;=$L$2+$M$2,IFERROR(INDEX(CLOZE_AB!$A:$K,ROW()-1-$L$2+1,2),""),IF(ROW()-1&lt;=$L$2+$M$2+$N$2,IFERROR(INDEX(CLOZE_LIST!$A:$K,ROW()-1-$L$2-$M$2+1,2),""),IF(ROW()-1&lt;=$L$2+$M$2+$N$2+$O$2,IFERROR(INDEX(PROFORMA!$A:$K,ROW()-1-$L$2-$M$2-$N$2+1,2),""),"")))))</f>
        <v/>
      </c>
      <c r="C691" s="3" t="str">
        <f>IF(ROW()-1&lt;=0,"",IF(ROW()-1&lt;=$L$2,IFERROR(INDEX(MCQ!$A:$K,ROW()-1+1,3),""),IF(ROW()-1&lt;=$L$2+$M$2,IFERROR(INDEX(CLOZE_AB!$A:$K,ROW()-1-$L$2+1,3),""),IF(ROW()-1&lt;=$L$2+$M$2+$N$2,IFERROR(INDEX(CLOZE_LIST!$A:$K,ROW()-1-$L$2-$M$2+1,3),""),IF(ROW()-1&lt;=$L$2+$M$2+$N$2+$O$2,IFERROR(INDEX(PROFORMA!$A:$K,ROW()-1-$L$2-$M$2-$N$2+1,3),""),"")))))</f>
        <v/>
      </c>
      <c r="D691" s="3" t="str">
        <f>IF(ROW()-1&lt;=0,"",IF(ROW()-1&lt;=$L$2,IFERROR(INDEX(MCQ!$A:$K,ROW()-1+1,4),""),IF(ROW()-1&lt;=$L$2+$M$2,IFERROR(INDEX(CLOZE_AB!$A:$K,ROW()-1-$L$2+1,4),""),IF(ROW()-1&lt;=$L$2+$M$2+$N$2,IFERROR(INDEX(CLOZE_LIST!$A:$K,ROW()-1-$L$2-$M$2+1,4),""),IF(ROW()-1&lt;=$L$2+$M$2+$N$2+$O$2,IFERROR(INDEX(PROFORMA!$A:$K,ROW()-1-$L$2-$M$2-$N$2+1,4),""),"")))))</f>
        <v/>
      </c>
      <c r="E691" s="3" t="str">
        <f>IF(ROW()-1&lt;=0,"",IF(ROW()-1&lt;=$L$2,IFERROR(INDEX(MCQ!$A:$K,ROW()-1+1,5),""),IF(ROW()-1&lt;=$L$2+$M$2,IFERROR(INDEX(CLOZE_AB!$A:$K,ROW()-1-$L$2+1,5),""),IF(ROW()-1&lt;=$L$2+$M$2+$N$2,IFERROR(INDEX(CLOZE_LIST!$A:$K,ROW()-1-$L$2-$M$2+1,5),""),IF(ROW()-1&lt;=$L$2+$M$2+$N$2+$O$2,IFERROR(INDEX(PROFORMA!$A:$K,ROW()-1-$L$2-$M$2-$N$2+1,5),""),"")))))</f>
        <v/>
      </c>
      <c r="F691" s="3" t="str">
        <f>IF(ROW()-1&lt;=0,"",IF(ROW()-1&lt;=$L$2,IFERROR(INDEX(MCQ!$A:$K,ROW()-1+1,6),""),IF(ROW()-1&lt;=$L$2+$M$2,IFERROR(INDEX(CLOZE_AB!$A:$K,ROW()-1-$L$2+1,6),""),IF(ROW()-1&lt;=$L$2+$M$2+$N$2,IFERROR(INDEX(CLOZE_LIST!$A:$K,ROW()-1-$L$2-$M$2+1,6),""),IF(ROW()-1&lt;=$L$2+$M$2+$N$2+$O$2,IFERROR(INDEX(PROFORMA!$A:$K,ROW()-1-$L$2-$M$2-$N$2+1,6),""),"")))))</f>
        <v/>
      </c>
      <c r="G691" s="3" t="str">
        <f>IF(ROW()-1&lt;=0,"",IF(ROW()-1&lt;=$L$2,IFERROR(INDEX(MCQ!$A:$K,ROW()-1+1,7),""),IF(ROW()-1&lt;=$L$2+$M$2,IFERROR(INDEX(CLOZE_AB!$A:$K,ROW()-1-$L$2+1,7),""),IF(ROW()-1&lt;=$L$2+$M$2+$N$2,IFERROR(INDEX(CLOZE_LIST!$A:$K,ROW()-1-$L$2-$M$2+1,7),""),IF(ROW()-1&lt;=$L$2+$M$2+$N$2+$O$2,IFERROR(INDEX(PROFORMA!$A:$K,ROW()-1-$L$2-$M$2-$N$2+1,7),""),"")))))</f>
        <v/>
      </c>
      <c r="H691" s="3" t="str">
        <f>IF(ROW()-1&lt;=0,"",IF(ROW()-1&lt;=$L$2,IFERROR(INDEX(MCQ!$A:$K,ROW()-1+1,8),""),IF(ROW()-1&lt;=$L$2+$M$2,IFERROR(INDEX(CLOZE_AB!$A:$K,ROW()-1-$L$2+1,8),""),IF(ROW()-1&lt;=$L$2+$M$2+$N$2,IFERROR(INDEX(CLOZE_LIST!$A:$K,ROW()-1-$L$2-$M$2+1,8),""),IF(ROW()-1&lt;=$L$2+$M$2+$N$2+$O$2,IFERROR(INDEX(PROFORMA!$A:$K,ROW()-1-$L$2-$M$2-$N$2+1,8),""),"")))))</f>
        <v/>
      </c>
      <c r="I691" s="3" t="str">
        <f>IF(ROW()-1&lt;=0,"",IF(ROW()-1&lt;=$L$2,IFERROR(INDEX(MCQ!$A:$K,ROW()-1+1,9),""),IF(ROW()-1&lt;=$L$2+$M$2,IFERROR(INDEX(CLOZE_AB!$A:$K,ROW()-1-$L$2+1,9),""),IF(ROW()-1&lt;=$L$2+$M$2+$N$2,IFERROR(INDEX(CLOZE_LIST!$A:$K,ROW()-1-$L$2-$M$2+1,9),""),IF(ROW()-1&lt;=$L$2+$M$2+$N$2+$O$2,IFERROR(INDEX(PROFORMA!$A:$K,ROW()-1-$L$2-$M$2-$N$2+1,9),""),"")))))</f>
        <v/>
      </c>
      <c r="J691" s="3" t="str">
        <f>IF(ROW()-1&lt;=0,"",IF(ROW()-1&lt;=$L$2,IFERROR(INDEX(MCQ!$A:$K,ROW()-1+1,10),""),IF(ROW()-1&lt;=$L$2+$M$2,IFERROR(INDEX(CLOZE_AB!$A:$K,ROW()-1-$L$2+1,10),""),IF(ROW()-1&lt;=$L$2+$M$2+$N$2,IFERROR(INDEX(CLOZE_LIST!$A:$K,ROW()-1-$L$2-$M$2+1,10),""),IF(ROW()-1&lt;=$L$2+$M$2+$N$2+$O$2,IFERROR(INDEX(PROFORMA!$A:$K,ROW()-1-$L$2-$M$2-$N$2+1,10),""),"")))))</f>
        <v/>
      </c>
      <c r="K691" s="3" t="str">
        <f>IF(ROW()-1&lt;=0,"",IF(ROW()-1&lt;=$L$2,IFERROR(INDEX(MCQ!$A:$K,ROW()-1+1,11),""),IF(ROW()-1&lt;=$L$2+$M$2,IFERROR(INDEX(CLOZE_AB!$A:$K,ROW()-1-$L$2+1,11),""),IF(ROW()-1&lt;=$L$2+$M$2+$N$2,IFERROR(INDEX(CLOZE_LIST!$A:$K,ROW()-1-$L$2-$M$2+1,11),""),IF(ROW()-1&lt;=$L$2+$M$2+$N$2+$O$2,IFERROR(INDEX(PROFORMA!$A:$K,ROW()-1-$L$2-$M$2-$N$2+1,11),""),"")))))</f>
        <v/>
      </c>
      <c r="L691" s="3">
        <f>COUNTA(MCQ!$A:$A)-1</f>
        <v>122</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t="str">
        <f>IF(ROW()-1&lt;=0,"",IF(ROW()-1&lt;=$L$2,IFERROR(INDEX(MCQ!$A:$K,ROW()-1+1,2),""),IF(ROW()-1&lt;=$L$2+$M$2,IFERROR(INDEX(CLOZE_AB!$A:$K,ROW()-1-$L$2+1,2),""),IF(ROW()-1&lt;=$L$2+$M$2+$N$2,IFERROR(INDEX(CLOZE_LIST!$A:$K,ROW()-1-$L$2-$M$2+1,2),""),IF(ROW()-1&lt;=$L$2+$M$2+$N$2+$O$2,IFERROR(INDEX(PROFORMA!$A:$K,ROW()-1-$L$2-$M$2-$N$2+1,2),""),"")))))</f>
        <v/>
      </c>
      <c r="C692" s="3" t="str">
        <f>IF(ROW()-1&lt;=0,"",IF(ROW()-1&lt;=$L$2,IFERROR(INDEX(MCQ!$A:$K,ROW()-1+1,3),""),IF(ROW()-1&lt;=$L$2+$M$2,IFERROR(INDEX(CLOZE_AB!$A:$K,ROW()-1-$L$2+1,3),""),IF(ROW()-1&lt;=$L$2+$M$2+$N$2,IFERROR(INDEX(CLOZE_LIST!$A:$K,ROW()-1-$L$2-$M$2+1,3),""),IF(ROW()-1&lt;=$L$2+$M$2+$N$2+$O$2,IFERROR(INDEX(PROFORMA!$A:$K,ROW()-1-$L$2-$M$2-$N$2+1,3),""),"")))))</f>
        <v/>
      </c>
      <c r="D692" s="3" t="str">
        <f>IF(ROW()-1&lt;=0,"",IF(ROW()-1&lt;=$L$2,IFERROR(INDEX(MCQ!$A:$K,ROW()-1+1,4),""),IF(ROW()-1&lt;=$L$2+$M$2,IFERROR(INDEX(CLOZE_AB!$A:$K,ROW()-1-$L$2+1,4),""),IF(ROW()-1&lt;=$L$2+$M$2+$N$2,IFERROR(INDEX(CLOZE_LIST!$A:$K,ROW()-1-$L$2-$M$2+1,4),""),IF(ROW()-1&lt;=$L$2+$M$2+$N$2+$O$2,IFERROR(INDEX(PROFORMA!$A:$K,ROW()-1-$L$2-$M$2-$N$2+1,4),""),"")))))</f>
        <v/>
      </c>
      <c r="E692" s="3" t="str">
        <f>IF(ROW()-1&lt;=0,"",IF(ROW()-1&lt;=$L$2,IFERROR(INDEX(MCQ!$A:$K,ROW()-1+1,5),""),IF(ROW()-1&lt;=$L$2+$M$2,IFERROR(INDEX(CLOZE_AB!$A:$K,ROW()-1-$L$2+1,5),""),IF(ROW()-1&lt;=$L$2+$M$2+$N$2,IFERROR(INDEX(CLOZE_LIST!$A:$K,ROW()-1-$L$2-$M$2+1,5),""),IF(ROW()-1&lt;=$L$2+$M$2+$N$2+$O$2,IFERROR(INDEX(PROFORMA!$A:$K,ROW()-1-$L$2-$M$2-$N$2+1,5),""),"")))))</f>
        <v/>
      </c>
      <c r="F692" s="3" t="str">
        <f>IF(ROW()-1&lt;=0,"",IF(ROW()-1&lt;=$L$2,IFERROR(INDEX(MCQ!$A:$K,ROW()-1+1,6),""),IF(ROW()-1&lt;=$L$2+$M$2,IFERROR(INDEX(CLOZE_AB!$A:$K,ROW()-1-$L$2+1,6),""),IF(ROW()-1&lt;=$L$2+$M$2+$N$2,IFERROR(INDEX(CLOZE_LIST!$A:$K,ROW()-1-$L$2-$M$2+1,6),""),IF(ROW()-1&lt;=$L$2+$M$2+$N$2+$O$2,IFERROR(INDEX(PROFORMA!$A:$K,ROW()-1-$L$2-$M$2-$N$2+1,6),""),"")))))</f>
        <v/>
      </c>
      <c r="G692" s="3" t="str">
        <f>IF(ROW()-1&lt;=0,"",IF(ROW()-1&lt;=$L$2,IFERROR(INDEX(MCQ!$A:$K,ROW()-1+1,7),""),IF(ROW()-1&lt;=$L$2+$M$2,IFERROR(INDEX(CLOZE_AB!$A:$K,ROW()-1-$L$2+1,7),""),IF(ROW()-1&lt;=$L$2+$M$2+$N$2,IFERROR(INDEX(CLOZE_LIST!$A:$K,ROW()-1-$L$2-$M$2+1,7),""),IF(ROW()-1&lt;=$L$2+$M$2+$N$2+$O$2,IFERROR(INDEX(PROFORMA!$A:$K,ROW()-1-$L$2-$M$2-$N$2+1,7),""),"")))))</f>
        <v/>
      </c>
      <c r="H692" s="3" t="str">
        <f>IF(ROW()-1&lt;=0,"",IF(ROW()-1&lt;=$L$2,IFERROR(INDEX(MCQ!$A:$K,ROW()-1+1,8),""),IF(ROW()-1&lt;=$L$2+$M$2,IFERROR(INDEX(CLOZE_AB!$A:$K,ROW()-1-$L$2+1,8),""),IF(ROW()-1&lt;=$L$2+$M$2+$N$2,IFERROR(INDEX(CLOZE_LIST!$A:$K,ROW()-1-$L$2-$M$2+1,8),""),IF(ROW()-1&lt;=$L$2+$M$2+$N$2+$O$2,IFERROR(INDEX(PROFORMA!$A:$K,ROW()-1-$L$2-$M$2-$N$2+1,8),""),"")))))</f>
        <v/>
      </c>
      <c r="I692" s="3" t="str">
        <f>IF(ROW()-1&lt;=0,"",IF(ROW()-1&lt;=$L$2,IFERROR(INDEX(MCQ!$A:$K,ROW()-1+1,9),""),IF(ROW()-1&lt;=$L$2+$M$2,IFERROR(INDEX(CLOZE_AB!$A:$K,ROW()-1-$L$2+1,9),""),IF(ROW()-1&lt;=$L$2+$M$2+$N$2,IFERROR(INDEX(CLOZE_LIST!$A:$K,ROW()-1-$L$2-$M$2+1,9),""),IF(ROW()-1&lt;=$L$2+$M$2+$N$2+$O$2,IFERROR(INDEX(PROFORMA!$A:$K,ROW()-1-$L$2-$M$2-$N$2+1,9),""),"")))))</f>
        <v/>
      </c>
      <c r="J692" s="3" t="str">
        <f>IF(ROW()-1&lt;=0,"",IF(ROW()-1&lt;=$L$2,IFERROR(INDEX(MCQ!$A:$K,ROW()-1+1,10),""),IF(ROW()-1&lt;=$L$2+$M$2,IFERROR(INDEX(CLOZE_AB!$A:$K,ROW()-1-$L$2+1,10),""),IF(ROW()-1&lt;=$L$2+$M$2+$N$2,IFERROR(INDEX(CLOZE_LIST!$A:$K,ROW()-1-$L$2-$M$2+1,10),""),IF(ROW()-1&lt;=$L$2+$M$2+$N$2+$O$2,IFERROR(INDEX(PROFORMA!$A:$K,ROW()-1-$L$2-$M$2-$N$2+1,10),""),"")))))</f>
        <v/>
      </c>
      <c r="K692" s="3" t="str">
        <f>IF(ROW()-1&lt;=0,"",IF(ROW()-1&lt;=$L$2,IFERROR(INDEX(MCQ!$A:$K,ROW()-1+1,11),""),IF(ROW()-1&lt;=$L$2+$M$2,IFERROR(INDEX(CLOZE_AB!$A:$K,ROW()-1-$L$2+1,11),""),IF(ROW()-1&lt;=$L$2+$M$2+$N$2,IFERROR(INDEX(CLOZE_LIST!$A:$K,ROW()-1-$L$2-$M$2+1,11),""),IF(ROW()-1&lt;=$L$2+$M$2+$N$2+$O$2,IFERROR(INDEX(PROFORMA!$A:$K,ROW()-1-$L$2-$M$2-$N$2+1,11),""),"")))))</f>
        <v/>
      </c>
      <c r="L692" s="3">
        <f>COUNTA(MCQ!$A:$A)-1</f>
        <v>122</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t="str">
        <f>IF(ROW()-1&lt;=0,"",IF(ROW()-1&lt;=$L$2,IFERROR(INDEX(MCQ!$A:$K,ROW()-1+1,2),""),IF(ROW()-1&lt;=$L$2+$M$2,IFERROR(INDEX(CLOZE_AB!$A:$K,ROW()-1-$L$2+1,2),""),IF(ROW()-1&lt;=$L$2+$M$2+$N$2,IFERROR(INDEX(CLOZE_LIST!$A:$K,ROW()-1-$L$2-$M$2+1,2),""),IF(ROW()-1&lt;=$L$2+$M$2+$N$2+$O$2,IFERROR(INDEX(PROFORMA!$A:$K,ROW()-1-$L$2-$M$2-$N$2+1,2),""),"")))))</f>
        <v/>
      </c>
      <c r="C693" s="3" t="str">
        <f>IF(ROW()-1&lt;=0,"",IF(ROW()-1&lt;=$L$2,IFERROR(INDEX(MCQ!$A:$K,ROW()-1+1,3),""),IF(ROW()-1&lt;=$L$2+$M$2,IFERROR(INDEX(CLOZE_AB!$A:$K,ROW()-1-$L$2+1,3),""),IF(ROW()-1&lt;=$L$2+$M$2+$N$2,IFERROR(INDEX(CLOZE_LIST!$A:$K,ROW()-1-$L$2-$M$2+1,3),""),IF(ROW()-1&lt;=$L$2+$M$2+$N$2+$O$2,IFERROR(INDEX(PROFORMA!$A:$K,ROW()-1-$L$2-$M$2-$N$2+1,3),""),"")))))</f>
        <v/>
      </c>
      <c r="D693" s="3" t="str">
        <f>IF(ROW()-1&lt;=0,"",IF(ROW()-1&lt;=$L$2,IFERROR(INDEX(MCQ!$A:$K,ROW()-1+1,4),""),IF(ROW()-1&lt;=$L$2+$M$2,IFERROR(INDEX(CLOZE_AB!$A:$K,ROW()-1-$L$2+1,4),""),IF(ROW()-1&lt;=$L$2+$M$2+$N$2,IFERROR(INDEX(CLOZE_LIST!$A:$K,ROW()-1-$L$2-$M$2+1,4),""),IF(ROW()-1&lt;=$L$2+$M$2+$N$2+$O$2,IFERROR(INDEX(PROFORMA!$A:$K,ROW()-1-$L$2-$M$2-$N$2+1,4),""),"")))))</f>
        <v/>
      </c>
      <c r="E693" s="3" t="str">
        <f>IF(ROW()-1&lt;=0,"",IF(ROW()-1&lt;=$L$2,IFERROR(INDEX(MCQ!$A:$K,ROW()-1+1,5),""),IF(ROW()-1&lt;=$L$2+$M$2,IFERROR(INDEX(CLOZE_AB!$A:$K,ROW()-1-$L$2+1,5),""),IF(ROW()-1&lt;=$L$2+$M$2+$N$2,IFERROR(INDEX(CLOZE_LIST!$A:$K,ROW()-1-$L$2-$M$2+1,5),""),IF(ROW()-1&lt;=$L$2+$M$2+$N$2+$O$2,IFERROR(INDEX(PROFORMA!$A:$K,ROW()-1-$L$2-$M$2-$N$2+1,5),""),"")))))</f>
        <v/>
      </c>
      <c r="F693" s="3" t="str">
        <f>IF(ROW()-1&lt;=0,"",IF(ROW()-1&lt;=$L$2,IFERROR(INDEX(MCQ!$A:$K,ROW()-1+1,6),""),IF(ROW()-1&lt;=$L$2+$M$2,IFERROR(INDEX(CLOZE_AB!$A:$K,ROW()-1-$L$2+1,6),""),IF(ROW()-1&lt;=$L$2+$M$2+$N$2,IFERROR(INDEX(CLOZE_LIST!$A:$K,ROW()-1-$L$2-$M$2+1,6),""),IF(ROW()-1&lt;=$L$2+$M$2+$N$2+$O$2,IFERROR(INDEX(PROFORMA!$A:$K,ROW()-1-$L$2-$M$2-$N$2+1,6),""),"")))))</f>
        <v/>
      </c>
      <c r="G693" s="3" t="str">
        <f>IF(ROW()-1&lt;=0,"",IF(ROW()-1&lt;=$L$2,IFERROR(INDEX(MCQ!$A:$K,ROW()-1+1,7),""),IF(ROW()-1&lt;=$L$2+$M$2,IFERROR(INDEX(CLOZE_AB!$A:$K,ROW()-1-$L$2+1,7),""),IF(ROW()-1&lt;=$L$2+$M$2+$N$2,IFERROR(INDEX(CLOZE_LIST!$A:$K,ROW()-1-$L$2-$M$2+1,7),""),IF(ROW()-1&lt;=$L$2+$M$2+$N$2+$O$2,IFERROR(INDEX(PROFORMA!$A:$K,ROW()-1-$L$2-$M$2-$N$2+1,7),""),"")))))</f>
        <v/>
      </c>
      <c r="H693" s="3" t="str">
        <f>IF(ROW()-1&lt;=0,"",IF(ROW()-1&lt;=$L$2,IFERROR(INDEX(MCQ!$A:$K,ROW()-1+1,8),""),IF(ROW()-1&lt;=$L$2+$M$2,IFERROR(INDEX(CLOZE_AB!$A:$K,ROW()-1-$L$2+1,8),""),IF(ROW()-1&lt;=$L$2+$M$2+$N$2,IFERROR(INDEX(CLOZE_LIST!$A:$K,ROW()-1-$L$2-$M$2+1,8),""),IF(ROW()-1&lt;=$L$2+$M$2+$N$2+$O$2,IFERROR(INDEX(PROFORMA!$A:$K,ROW()-1-$L$2-$M$2-$N$2+1,8),""),"")))))</f>
        <v/>
      </c>
      <c r="I693" s="3" t="str">
        <f>IF(ROW()-1&lt;=0,"",IF(ROW()-1&lt;=$L$2,IFERROR(INDEX(MCQ!$A:$K,ROW()-1+1,9),""),IF(ROW()-1&lt;=$L$2+$M$2,IFERROR(INDEX(CLOZE_AB!$A:$K,ROW()-1-$L$2+1,9),""),IF(ROW()-1&lt;=$L$2+$M$2+$N$2,IFERROR(INDEX(CLOZE_LIST!$A:$K,ROW()-1-$L$2-$M$2+1,9),""),IF(ROW()-1&lt;=$L$2+$M$2+$N$2+$O$2,IFERROR(INDEX(PROFORMA!$A:$K,ROW()-1-$L$2-$M$2-$N$2+1,9),""),"")))))</f>
        <v/>
      </c>
      <c r="J693" s="3" t="str">
        <f>IF(ROW()-1&lt;=0,"",IF(ROW()-1&lt;=$L$2,IFERROR(INDEX(MCQ!$A:$K,ROW()-1+1,10),""),IF(ROW()-1&lt;=$L$2+$M$2,IFERROR(INDEX(CLOZE_AB!$A:$K,ROW()-1-$L$2+1,10),""),IF(ROW()-1&lt;=$L$2+$M$2+$N$2,IFERROR(INDEX(CLOZE_LIST!$A:$K,ROW()-1-$L$2-$M$2+1,10),""),IF(ROW()-1&lt;=$L$2+$M$2+$N$2+$O$2,IFERROR(INDEX(PROFORMA!$A:$K,ROW()-1-$L$2-$M$2-$N$2+1,10),""),"")))))</f>
        <v/>
      </c>
      <c r="K693" s="3" t="str">
        <f>IF(ROW()-1&lt;=0,"",IF(ROW()-1&lt;=$L$2,IFERROR(INDEX(MCQ!$A:$K,ROW()-1+1,11),""),IF(ROW()-1&lt;=$L$2+$M$2,IFERROR(INDEX(CLOZE_AB!$A:$K,ROW()-1-$L$2+1,11),""),IF(ROW()-1&lt;=$L$2+$M$2+$N$2,IFERROR(INDEX(CLOZE_LIST!$A:$K,ROW()-1-$L$2-$M$2+1,11),""),IF(ROW()-1&lt;=$L$2+$M$2+$N$2+$O$2,IFERROR(INDEX(PROFORMA!$A:$K,ROW()-1-$L$2-$M$2-$N$2+1,11),""),"")))))</f>
        <v/>
      </c>
      <c r="L693" s="3">
        <f>COUNTA(MCQ!$A:$A)-1</f>
        <v>122</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t="str">
        <f>IF(ROW()-1&lt;=0,"",IF(ROW()-1&lt;=$L$2,IFERROR(INDEX(MCQ!$A:$K,ROW()-1+1,2),""),IF(ROW()-1&lt;=$L$2+$M$2,IFERROR(INDEX(CLOZE_AB!$A:$K,ROW()-1-$L$2+1,2),""),IF(ROW()-1&lt;=$L$2+$M$2+$N$2,IFERROR(INDEX(CLOZE_LIST!$A:$K,ROW()-1-$L$2-$M$2+1,2),""),IF(ROW()-1&lt;=$L$2+$M$2+$N$2+$O$2,IFERROR(INDEX(PROFORMA!$A:$K,ROW()-1-$L$2-$M$2-$N$2+1,2),""),"")))))</f>
        <v/>
      </c>
      <c r="C694" s="3" t="str">
        <f>IF(ROW()-1&lt;=0,"",IF(ROW()-1&lt;=$L$2,IFERROR(INDEX(MCQ!$A:$K,ROW()-1+1,3),""),IF(ROW()-1&lt;=$L$2+$M$2,IFERROR(INDEX(CLOZE_AB!$A:$K,ROW()-1-$L$2+1,3),""),IF(ROW()-1&lt;=$L$2+$M$2+$N$2,IFERROR(INDEX(CLOZE_LIST!$A:$K,ROW()-1-$L$2-$M$2+1,3),""),IF(ROW()-1&lt;=$L$2+$M$2+$N$2+$O$2,IFERROR(INDEX(PROFORMA!$A:$K,ROW()-1-$L$2-$M$2-$N$2+1,3),""),"")))))</f>
        <v/>
      </c>
      <c r="D694" s="3" t="str">
        <f>IF(ROW()-1&lt;=0,"",IF(ROW()-1&lt;=$L$2,IFERROR(INDEX(MCQ!$A:$K,ROW()-1+1,4),""),IF(ROW()-1&lt;=$L$2+$M$2,IFERROR(INDEX(CLOZE_AB!$A:$K,ROW()-1-$L$2+1,4),""),IF(ROW()-1&lt;=$L$2+$M$2+$N$2,IFERROR(INDEX(CLOZE_LIST!$A:$K,ROW()-1-$L$2-$M$2+1,4),""),IF(ROW()-1&lt;=$L$2+$M$2+$N$2+$O$2,IFERROR(INDEX(PROFORMA!$A:$K,ROW()-1-$L$2-$M$2-$N$2+1,4),""),"")))))</f>
        <v/>
      </c>
      <c r="E694" s="3" t="str">
        <f>IF(ROW()-1&lt;=0,"",IF(ROW()-1&lt;=$L$2,IFERROR(INDEX(MCQ!$A:$K,ROW()-1+1,5),""),IF(ROW()-1&lt;=$L$2+$M$2,IFERROR(INDEX(CLOZE_AB!$A:$K,ROW()-1-$L$2+1,5),""),IF(ROW()-1&lt;=$L$2+$M$2+$N$2,IFERROR(INDEX(CLOZE_LIST!$A:$K,ROW()-1-$L$2-$M$2+1,5),""),IF(ROW()-1&lt;=$L$2+$M$2+$N$2+$O$2,IFERROR(INDEX(PROFORMA!$A:$K,ROW()-1-$L$2-$M$2-$N$2+1,5),""),"")))))</f>
        <v/>
      </c>
      <c r="F694" s="3" t="str">
        <f>IF(ROW()-1&lt;=0,"",IF(ROW()-1&lt;=$L$2,IFERROR(INDEX(MCQ!$A:$K,ROW()-1+1,6),""),IF(ROW()-1&lt;=$L$2+$M$2,IFERROR(INDEX(CLOZE_AB!$A:$K,ROW()-1-$L$2+1,6),""),IF(ROW()-1&lt;=$L$2+$M$2+$N$2,IFERROR(INDEX(CLOZE_LIST!$A:$K,ROW()-1-$L$2-$M$2+1,6),""),IF(ROW()-1&lt;=$L$2+$M$2+$N$2+$O$2,IFERROR(INDEX(PROFORMA!$A:$K,ROW()-1-$L$2-$M$2-$N$2+1,6),""),"")))))</f>
        <v/>
      </c>
      <c r="G694" s="3" t="str">
        <f>IF(ROW()-1&lt;=0,"",IF(ROW()-1&lt;=$L$2,IFERROR(INDEX(MCQ!$A:$K,ROW()-1+1,7),""),IF(ROW()-1&lt;=$L$2+$M$2,IFERROR(INDEX(CLOZE_AB!$A:$K,ROW()-1-$L$2+1,7),""),IF(ROW()-1&lt;=$L$2+$M$2+$N$2,IFERROR(INDEX(CLOZE_LIST!$A:$K,ROW()-1-$L$2-$M$2+1,7),""),IF(ROW()-1&lt;=$L$2+$M$2+$N$2+$O$2,IFERROR(INDEX(PROFORMA!$A:$K,ROW()-1-$L$2-$M$2-$N$2+1,7),""),"")))))</f>
        <v/>
      </c>
      <c r="H694" s="3" t="str">
        <f>IF(ROW()-1&lt;=0,"",IF(ROW()-1&lt;=$L$2,IFERROR(INDEX(MCQ!$A:$K,ROW()-1+1,8),""),IF(ROW()-1&lt;=$L$2+$M$2,IFERROR(INDEX(CLOZE_AB!$A:$K,ROW()-1-$L$2+1,8),""),IF(ROW()-1&lt;=$L$2+$M$2+$N$2,IFERROR(INDEX(CLOZE_LIST!$A:$K,ROW()-1-$L$2-$M$2+1,8),""),IF(ROW()-1&lt;=$L$2+$M$2+$N$2+$O$2,IFERROR(INDEX(PROFORMA!$A:$K,ROW()-1-$L$2-$M$2-$N$2+1,8),""),"")))))</f>
        <v/>
      </c>
      <c r="I694" s="3" t="str">
        <f>IF(ROW()-1&lt;=0,"",IF(ROW()-1&lt;=$L$2,IFERROR(INDEX(MCQ!$A:$K,ROW()-1+1,9),""),IF(ROW()-1&lt;=$L$2+$M$2,IFERROR(INDEX(CLOZE_AB!$A:$K,ROW()-1-$L$2+1,9),""),IF(ROW()-1&lt;=$L$2+$M$2+$N$2,IFERROR(INDEX(CLOZE_LIST!$A:$K,ROW()-1-$L$2-$M$2+1,9),""),IF(ROW()-1&lt;=$L$2+$M$2+$N$2+$O$2,IFERROR(INDEX(PROFORMA!$A:$K,ROW()-1-$L$2-$M$2-$N$2+1,9),""),"")))))</f>
        <v/>
      </c>
      <c r="J694" s="3" t="str">
        <f>IF(ROW()-1&lt;=0,"",IF(ROW()-1&lt;=$L$2,IFERROR(INDEX(MCQ!$A:$K,ROW()-1+1,10),""),IF(ROW()-1&lt;=$L$2+$M$2,IFERROR(INDEX(CLOZE_AB!$A:$K,ROW()-1-$L$2+1,10),""),IF(ROW()-1&lt;=$L$2+$M$2+$N$2,IFERROR(INDEX(CLOZE_LIST!$A:$K,ROW()-1-$L$2-$M$2+1,10),""),IF(ROW()-1&lt;=$L$2+$M$2+$N$2+$O$2,IFERROR(INDEX(PROFORMA!$A:$K,ROW()-1-$L$2-$M$2-$N$2+1,10),""),"")))))</f>
        <v/>
      </c>
      <c r="K694" s="3" t="str">
        <f>IF(ROW()-1&lt;=0,"",IF(ROW()-1&lt;=$L$2,IFERROR(INDEX(MCQ!$A:$K,ROW()-1+1,11),""),IF(ROW()-1&lt;=$L$2+$M$2,IFERROR(INDEX(CLOZE_AB!$A:$K,ROW()-1-$L$2+1,11),""),IF(ROW()-1&lt;=$L$2+$M$2+$N$2,IFERROR(INDEX(CLOZE_LIST!$A:$K,ROW()-1-$L$2-$M$2+1,11),""),IF(ROW()-1&lt;=$L$2+$M$2+$N$2+$O$2,IFERROR(INDEX(PROFORMA!$A:$K,ROW()-1-$L$2-$M$2-$N$2+1,11),""),"")))))</f>
        <v/>
      </c>
      <c r="L694" s="3">
        <f>COUNTA(MCQ!$A:$A)-1</f>
        <v>122</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t="str">
        <f>IF(ROW()-1&lt;=0,"",IF(ROW()-1&lt;=$L$2,IFERROR(INDEX(MCQ!$A:$K,ROW()-1+1,2),""),IF(ROW()-1&lt;=$L$2+$M$2,IFERROR(INDEX(CLOZE_AB!$A:$K,ROW()-1-$L$2+1,2),""),IF(ROW()-1&lt;=$L$2+$M$2+$N$2,IFERROR(INDEX(CLOZE_LIST!$A:$K,ROW()-1-$L$2-$M$2+1,2),""),IF(ROW()-1&lt;=$L$2+$M$2+$N$2+$O$2,IFERROR(INDEX(PROFORMA!$A:$K,ROW()-1-$L$2-$M$2-$N$2+1,2),""),"")))))</f>
        <v/>
      </c>
      <c r="C695" s="3" t="str">
        <f>IF(ROW()-1&lt;=0,"",IF(ROW()-1&lt;=$L$2,IFERROR(INDEX(MCQ!$A:$K,ROW()-1+1,3),""),IF(ROW()-1&lt;=$L$2+$M$2,IFERROR(INDEX(CLOZE_AB!$A:$K,ROW()-1-$L$2+1,3),""),IF(ROW()-1&lt;=$L$2+$M$2+$N$2,IFERROR(INDEX(CLOZE_LIST!$A:$K,ROW()-1-$L$2-$M$2+1,3),""),IF(ROW()-1&lt;=$L$2+$M$2+$N$2+$O$2,IFERROR(INDEX(PROFORMA!$A:$K,ROW()-1-$L$2-$M$2-$N$2+1,3),""),"")))))</f>
        <v/>
      </c>
      <c r="D695" s="3" t="str">
        <f>IF(ROW()-1&lt;=0,"",IF(ROW()-1&lt;=$L$2,IFERROR(INDEX(MCQ!$A:$K,ROW()-1+1,4),""),IF(ROW()-1&lt;=$L$2+$M$2,IFERROR(INDEX(CLOZE_AB!$A:$K,ROW()-1-$L$2+1,4),""),IF(ROW()-1&lt;=$L$2+$M$2+$N$2,IFERROR(INDEX(CLOZE_LIST!$A:$K,ROW()-1-$L$2-$M$2+1,4),""),IF(ROW()-1&lt;=$L$2+$M$2+$N$2+$O$2,IFERROR(INDEX(PROFORMA!$A:$K,ROW()-1-$L$2-$M$2-$N$2+1,4),""),"")))))</f>
        <v/>
      </c>
      <c r="E695" s="3" t="str">
        <f>IF(ROW()-1&lt;=0,"",IF(ROW()-1&lt;=$L$2,IFERROR(INDEX(MCQ!$A:$K,ROW()-1+1,5),""),IF(ROW()-1&lt;=$L$2+$M$2,IFERROR(INDEX(CLOZE_AB!$A:$K,ROW()-1-$L$2+1,5),""),IF(ROW()-1&lt;=$L$2+$M$2+$N$2,IFERROR(INDEX(CLOZE_LIST!$A:$K,ROW()-1-$L$2-$M$2+1,5),""),IF(ROW()-1&lt;=$L$2+$M$2+$N$2+$O$2,IFERROR(INDEX(PROFORMA!$A:$K,ROW()-1-$L$2-$M$2-$N$2+1,5),""),"")))))</f>
        <v/>
      </c>
      <c r="F695" s="3" t="str">
        <f>IF(ROW()-1&lt;=0,"",IF(ROW()-1&lt;=$L$2,IFERROR(INDEX(MCQ!$A:$K,ROW()-1+1,6),""),IF(ROW()-1&lt;=$L$2+$M$2,IFERROR(INDEX(CLOZE_AB!$A:$K,ROW()-1-$L$2+1,6),""),IF(ROW()-1&lt;=$L$2+$M$2+$N$2,IFERROR(INDEX(CLOZE_LIST!$A:$K,ROW()-1-$L$2-$M$2+1,6),""),IF(ROW()-1&lt;=$L$2+$M$2+$N$2+$O$2,IFERROR(INDEX(PROFORMA!$A:$K,ROW()-1-$L$2-$M$2-$N$2+1,6),""),"")))))</f>
        <v/>
      </c>
      <c r="G695" s="3" t="str">
        <f>IF(ROW()-1&lt;=0,"",IF(ROW()-1&lt;=$L$2,IFERROR(INDEX(MCQ!$A:$K,ROW()-1+1,7),""),IF(ROW()-1&lt;=$L$2+$M$2,IFERROR(INDEX(CLOZE_AB!$A:$K,ROW()-1-$L$2+1,7),""),IF(ROW()-1&lt;=$L$2+$M$2+$N$2,IFERROR(INDEX(CLOZE_LIST!$A:$K,ROW()-1-$L$2-$M$2+1,7),""),IF(ROW()-1&lt;=$L$2+$M$2+$N$2+$O$2,IFERROR(INDEX(PROFORMA!$A:$K,ROW()-1-$L$2-$M$2-$N$2+1,7),""),"")))))</f>
        <v/>
      </c>
      <c r="H695" s="3" t="str">
        <f>IF(ROW()-1&lt;=0,"",IF(ROW()-1&lt;=$L$2,IFERROR(INDEX(MCQ!$A:$K,ROW()-1+1,8),""),IF(ROW()-1&lt;=$L$2+$M$2,IFERROR(INDEX(CLOZE_AB!$A:$K,ROW()-1-$L$2+1,8),""),IF(ROW()-1&lt;=$L$2+$M$2+$N$2,IFERROR(INDEX(CLOZE_LIST!$A:$K,ROW()-1-$L$2-$M$2+1,8),""),IF(ROW()-1&lt;=$L$2+$M$2+$N$2+$O$2,IFERROR(INDEX(PROFORMA!$A:$K,ROW()-1-$L$2-$M$2-$N$2+1,8),""),"")))))</f>
        <v/>
      </c>
      <c r="I695" s="3" t="str">
        <f>IF(ROW()-1&lt;=0,"",IF(ROW()-1&lt;=$L$2,IFERROR(INDEX(MCQ!$A:$K,ROW()-1+1,9),""),IF(ROW()-1&lt;=$L$2+$M$2,IFERROR(INDEX(CLOZE_AB!$A:$K,ROW()-1-$L$2+1,9),""),IF(ROW()-1&lt;=$L$2+$M$2+$N$2,IFERROR(INDEX(CLOZE_LIST!$A:$K,ROW()-1-$L$2-$M$2+1,9),""),IF(ROW()-1&lt;=$L$2+$M$2+$N$2+$O$2,IFERROR(INDEX(PROFORMA!$A:$K,ROW()-1-$L$2-$M$2-$N$2+1,9),""),"")))))</f>
        <v/>
      </c>
      <c r="J695" s="3" t="str">
        <f>IF(ROW()-1&lt;=0,"",IF(ROW()-1&lt;=$L$2,IFERROR(INDEX(MCQ!$A:$K,ROW()-1+1,10),""),IF(ROW()-1&lt;=$L$2+$M$2,IFERROR(INDEX(CLOZE_AB!$A:$K,ROW()-1-$L$2+1,10),""),IF(ROW()-1&lt;=$L$2+$M$2+$N$2,IFERROR(INDEX(CLOZE_LIST!$A:$K,ROW()-1-$L$2-$M$2+1,10),""),IF(ROW()-1&lt;=$L$2+$M$2+$N$2+$O$2,IFERROR(INDEX(PROFORMA!$A:$K,ROW()-1-$L$2-$M$2-$N$2+1,10),""),"")))))</f>
        <v/>
      </c>
      <c r="K695" s="3" t="str">
        <f>IF(ROW()-1&lt;=0,"",IF(ROW()-1&lt;=$L$2,IFERROR(INDEX(MCQ!$A:$K,ROW()-1+1,11),""),IF(ROW()-1&lt;=$L$2+$M$2,IFERROR(INDEX(CLOZE_AB!$A:$K,ROW()-1-$L$2+1,11),""),IF(ROW()-1&lt;=$L$2+$M$2+$N$2,IFERROR(INDEX(CLOZE_LIST!$A:$K,ROW()-1-$L$2-$M$2+1,11),""),IF(ROW()-1&lt;=$L$2+$M$2+$N$2+$O$2,IFERROR(INDEX(PROFORMA!$A:$K,ROW()-1-$L$2-$M$2-$N$2+1,11),""),"")))))</f>
        <v/>
      </c>
      <c r="L695" s="3">
        <f>COUNTA(MCQ!$A:$A)-1</f>
        <v>122</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t="str">
        <f>IF(ROW()-1&lt;=0,"",IF(ROW()-1&lt;=$L$2,IFERROR(INDEX(MCQ!$A:$K,ROW()-1+1,2),""),IF(ROW()-1&lt;=$L$2+$M$2,IFERROR(INDEX(CLOZE_AB!$A:$K,ROW()-1-$L$2+1,2),""),IF(ROW()-1&lt;=$L$2+$M$2+$N$2,IFERROR(INDEX(CLOZE_LIST!$A:$K,ROW()-1-$L$2-$M$2+1,2),""),IF(ROW()-1&lt;=$L$2+$M$2+$N$2+$O$2,IFERROR(INDEX(PROFORMA!$A:$K,ROW()-1-$L$2-$M$2-$N$2+1,2),""),"")))))</f>
        <v/>
      </c>
      <c r="C696" s="3" t="str">
        <f>IF(ROW()-1&lt;=0,"",IF(ROW()-1&lt;=$L$2,IFERROR(INDEX(MCQ!$A:$K,ROW()-1+1,3),""),IF(ROW()-1&lt;=$L$2+$M$2,IFERROR(INDEX(CLOZE_AB!$A:$K,ROW()-1-$L$2+1,3),""),IF(ROW()-1&lt;=$L$2+$M$2+$N$2,IFERROR(INDEX(CLOZE_LIST!$A:$K,ROW()-1-$L$2-$M$2+1,3),""),IF(ROW()-1&lt;=$L$2+$M$2+$N$2+$O$2,IFERROR(INDEX(PROFORMA!$A:$K,ROW()-1-$L$2-$M$2-$N$2+1,3),""),"")))))</f>
        <v/>
      </c>
      <c r="D696" s="3" t="str">
        <f>IF(ROW()-1&lt;=0,"",IF(ROW()-1&lt;=$L$2,IFERROR(INDEX(MCQ!$A:$K,ROW()-1+1,4),""),IF(ROW()-1&lt;=$L$2+$M$2,IFERROR(INDEX(CLOZE_AB!$A:$K,ROW()-1-$L$2+1,4),""),IF(ROW()-1&lt;=$L$2+$M$2+$N$2,IFERROR(INDEX(CLOZE_LIST!$A:$K,ROW()-1-$L$2-$M$2+1,4),""),IF(ROW()-1&lt;=$L$2+$M$2+$N$2+$O$2,IFERROR(INDEX(PROFORMA!$A:$K,ROW()-1-$L$2-$M$2-$N$2+1,4),""),"")))))</f>
        <v/>
      </c>
      <c r="E696" s="3" t="str">
        <f>IF(ROW()-1&lt;=0,"",IF(ROW()-1&lt;=$L$2,IFERROR(INDEX(MCQ!$A:$K,ROW()-1+1,5),""),IF(ROW()-1&lt;=$L$2+$M$2,IFERROR(INDEX(CLOZE_AB!$A:$K,ROW()-1-$L$2+1,5),""),IF(ROW()-1&lt;=$L$2+$M$2+$N$2,IFERROR(INDEX(CLOZE_LIST!$A:$K,ROW()-1-$L$2-$M$2+1,5),""),IF(ROW()-1&lt;=$L$2+$M$2+$N$2+$O$2,IFERROR(INDEX(PROFORMA!$A:$K,ROW()-1-$L$2-$M$2-$N$2+1,5),""),"")))))</f>
        <v/>
      </c>
      <c r="F696" s="3" t="str">
        <f>IF(ROW()-1&lt;=0,"",IF(ROW()-1&lt;=$L$2,IFERROR(INDEX(MCQ!$A:$K,ROW()-1+1,6),""),IF(ROW()-1&lt;=$L$2+$M$2,IFERROR(INDEX(CLOZE_AB!$A:$K,ROW()-1-$L$2+1,6),""),IF(ROW()-1&lt;=$L$2+$M$2+$N$2,IFERROR(INDEX(CLOZE_LIST!$A:$K,ROW()-1-$L$2-$M$2+1,6),""),IF(ROW()-1&lt;=$L$2+$M$2+$N$2+$O$2,IFERROR(INDEX(PROFORMA!$A:$K,ROW()-1-$L$2-$M$2-$N$2+1,6),""),"")))))</f>
        <v/>
      </c>
      <c r="G696" s="3" t="str">
        <f>IF(ROW()-1&lt;=0,"",IF(ROW()-1&lt;=$L$2,IFERROR(INDEX(MCQ!$A:$K,ROW()-1+1,7),""),IF(ROW()-1&lt;=$L$2+$M$2,IFERROR(INDEX(CLOZE_AB!$A:$K,ROW()-1-$L$2+1,7),""),IF(ROW()-1&lt;=$L$2+$M$2+$N$2,IFERROR(INDEX(CLOZE_LIST!$A:$K,ROW()-1-$L$2-$M$2+1,7),""),IF(ROW()-1&lt;=$L$2+$M$2+$N$2+$O$2,IFERROR(INDEX(PROFORMA!$A:$K,ROW()-1-$L$2-$M$2-$N$2+1,7),""),"")))))</f>
        <v/>
      </c>
      <c r="H696" s="3" t="str">
        <f>IF(ROW()-1&lt;=0,"",IF(ROW()-1&lt;=$L$2,IFERROR(INDEX(MCQ!$A:$K,ROW()-1+1,8),""),IF(ROW()-1&lt;=$L$2+$M$2,IFERROR(INDEX(CLOZE_AB!$A:$K,ROW()-1-$L$2+1,8),""),IF(ROW()-1&lt;=$L$2+$M$2+$N$2,IFERROR(INDEX(CLOZE_LIST!$A:$K,ROW()-1-$L$2-$M$2+1,8),""),IF(ROW()-1&lt;=$L$2+$M$2+$N$2+$O$2,IFERROR(INDEX(PROFORMA!$A:$K,ROW()-1-$L$2-$M$2-$N$2+1,8),""),"")))))</f>
        <v/>
      </c>
      <c r="I696" s="3" t="str">
        <f>IF(ROW()-1&lt;=0,"",IF(ROW()-1&lt;=$L$2,IFERROR(INDEX(MCQ!$A:$K,ROW()-1+1,9),""),IF(ROW()-1&lt;=$L$2+$M$2,IFERROR(INDEX(CLOZE_AB!$A:$K,ROW()-1-$L$2+1,9),""),IF(ROW()-1&lt;=$L$2+$M$2+$N$2,IFERROR(INDEX(CLOZE_LIST!$A:$K,ROW()-1-$L$2-$M$2+1,9),""),IF(ROW()-1&lt;=$L$2+$M$2+$N$2+$O$2,IFERROR(INDEX(PROFORMA!$A:$K,ROW()-1-$L$2-$M$2-$N$2+1,9),""),"")))))</f>
        <v/>
      </c>
      <c r="J696" s="3" t="str">
        <f>IF(ROW()-1&lt;=0,"",IF(ROW()-1&lt;=$L$2,IFERROR(INDEX(MCQ!$A:$K,ROW()-1+1,10),""),IF(ROW()-1&lt;=$L$2+$M$2,IFERROR(INDEX(CLOZE_AB!$A:$K,ROW()-1-$L$2+1,10),""),IF(ROW()-1&lt;=$L$2+$M$2+$N$2,IFERROR(INDEX(CLOZE_LIST!$A:$K,ROW()-1-$L$2-$M$2+1,10),""),IF(ROW()-1&lt;=$L$2+$M$2+$N$2+$O$2,IFERROR(INDEX(PROFORMA!$A:$K,ROW()-1-$L$2-$M$2-$N$2+1,10),""),"")))))</f>
        <v/>
      </c>
      <c r="K696" s="3" t="str">
        <f>IF(ROW()-1&lt;=0,"",IF(ROW()-1&lt;=$L$2,IFERROR(INDEX(MCQ!$A:$K,ROW()-1+1,11),""),IF(ROW()-1&lt;=$L$2+$M$2,IFERROR(INDEX(CLOZE_AB!$A:$K,ROW()-1-$L$2+1,11),""),IF(ROW()-1&lt;=$L$2+$M$2+$N$2,IFERROR(INDEX(CLOZE_LIST!$A:$K,ROW()-1-$L$2-$M$2+1,11),""),IF(ROW()-1&lt;=$L$2+$M$2+$N$2+$O$2,IFERROR(INDEX(PROFORMA!$A:$K,ROW()-1-$L$2-$M$2-$N$2+1,11),""),"")))))</f>
        <v/>
      </c>
      <c r="L696" s="3">
        <f>COUNTA(MCQ!$A:$A)-1</f>
        <v>122</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t="str">
        <f>IF(ROW()-1&lt;=0,"",IF(ROW()-1&lt;=$L$2,IFERROR(INDEX(MCQ!$A:$K,ROW()-1+1,2),""),IF(ROW()-1&lt;=$L$2+$M$2,IFERROR(INDEX(CLOZE_AB!$A:$K,ROW()-1-$L$2+1,2),""),IF(ROW()-1&lt;=$L$2+$M$2+$N$2,IFERROR(INDEX(CLOZE_LIST!$A:$K,ROW()-1-$L$2-$M$2+1,2),""),IF(ROW()-1&lt;=$L$2+$M$2+$N$2+$O$2,IFERROR(INDEX(PROFORMA!$A:$K,ROW()-1-$L$2-$M$2-$N$2+1,2),""),"")))))</f>
        <v/>
      </c>
      <c r="C697" s="3" t="str">
        <f>IF(ROW()-1&lt;=0,"",IF(ROW()-1&lt;=$L$2,IFERROR(INDEX(MCQ!$A:$K,ROW()-1+1,3),""),IF(ROW()-1&lt;=$L$2+$M$2,IFERROR(INDEX(CLOZE_AB!$A:$K,ROW()-1-$L$2+1,3),""),IF(ROW()-1&lt;=$L$2+$M$2+$N$2,IFERROR(INDEX(CLOZE_LIST!$A:$K,ROW()-1-$L$2-$M$2+1,3),""),IF(ROW()-1&lt;=$L$2+$M$2+$N$2+$O$2,IFERROR(INDEX(PROFORMA!$A:$K,ROW()-1-$L$2-$M$2-$N$2+1,3),""),"")))))</f>
        <v/>
      </c>
      <c r="D697" s="3" t="str">
        <f>IF(ROW()-1&lt;=0,"",IF(ROW()-1&lt;=$L$2,IFERROR(INDEX(MCQ!$A:$K,ROW()-1+1,4),""),IF(ROW()-1&lt;=$L$2+$M$2,IFERROR(INDEX(CLOZE_AB!$A:$K,ROW()-1-$L$2+1,4),""),IF(ROW()-1&lt;=$L$2+$M$2+$N$2,IFERROR(INDEX(CLOZE_LIST!$A:$K,ROW()-1-$L$2-$M$2+1,4),""),IF(ROW()-1&lt;=$L$2+$M$2+$N$2+$O$2,IFERROR(INDEX(PROFORMA!$A:$K,ROW()-1-$L$2-$M$2-$N$2+1,4),""),"")))))</f>
        <v/>
      </c>
      <c r="E697" s="3" t="str">
        <f>IF(ROW()-1&lt;=0,"",IF(ROW()-1&lt;=$L$2,IFERROR(INDEX(MCQ!$A:$K,ROW()-1+1,5),""),IF(ROW()-1&lt;=$L$2+$M$2,IFERROR(INDEX(CLOZE_AB!$A:$K,ROW()-1-$L$2+1,5),""),IF(ROW()-1&lt;=$L$2+$M$2+$N$2,IFERROR(INDEX(CLOZE_LIST!$A:$K,ROW()-1-$L$2-$M$2+1,5),""),IF(ROW()-1&lt;=$L$2+$M$2+$N$2+$O$2,IFERROR(INDEX(PROFORMA!$A:$K,ROW()-1-$L$2-$M$2-$N$2+1,5),""),"")))))</f>
        <v/>
      </c>
      <c r="F697" s="3" t="str">
        <f>IF(ROW()-1&lt;=0,"",IF(ROW()-1&lt;=$L$2,IFERROR(INDEX(MCQ!$A:$K,ROW()-1+1,6),""),IF(ROW()-1&lt;=$L$2+$M$2,IFERROR(INDEX(CLOZE_AB!$A:$K,ROW()-1-$L$2+1,6),""),IF(ROW()-1&lt;=$L$2+$M$2+$N$2,IFERROR(INDEX(CLOZE_LIST!$A:$K,ROW()-1-$L$2-$M$2+1,6),""),IF(ROW()-1&lt;=$L$2+$M$2+$N$2+$O$2,IFERROR(INDEX(PROFORMA!$A:$K,ROW()-1-$L$2-$M$2-$N$2+1,6),""),"")))))</f>
        <v/>
      </c>
      <c r="G697" s="3" t="str">
        <f>IF(ROW()-1&lt;=0,"",IF(ROW()-1&lt;=$L$2,IFERROR(INDEX(MCQ!$A:$K,ROW()-1+1,7),""),IF(ROW()-1&lt;=$L$2+$M$2,IFERROR(INDEX(CLOZE_AB!$A:$K,ROW()-1-$L$2+1,7),""),IF(ROW()-1&lt;=$L$2+$M$2+$N$2,IFERROR(INDEX(CLOZE_LIST!$A:$K,ROW()-1-$L$2-$M$2+1,7),""),IF(ROW()-1&lt;=$L$2+$M$2+$N$2+$O$2,IFERROR(INDEX(PROFORMA!$A:$K,ROW()-1-$L$2-$M$2-$N$2+1,7),""),"")))))</f>
        <v/>
      </c>
      <c r="H697" s="3" t="str">
        <f>IF(ROW()-1&lt;=0,"",IF(ROW()-1&lt;=$L$2,IFERROR(INDEX(MCQ!$A:$K,ROW()-1+1,8),""),IF(ROW()-1&lt;=$L$2+$M$2,IFERROR(INDEX(CLOZE_AB!$A:$K,ROW()-1-$L$2+1,8),""),IF(ROW()-1&lt;=$L$2+$M$2+$N$2,IFERROR(INDEX(CLOZE_LIST!$A:$K,ROW()-1-$L$2-$M$2+1,8),""),IF(ROW()-1&lt;=$L$2+$M$2+$N$2+$O$2,IFERROR(INDEX(PROFORMA!$A:$K,ROW()-1-$L$2-$M$2-$N$2+1,8),""),"")))))</f>
        <v/>
      </c>
      <c r="I697" s="3" t="str">
        <f>IF(ROW()-1&lt;=0,"",IF(ROW()-1&lt;=$L$2,IFERROR(INDEX(MCQ!$A:$K,ROW()-1+1,9),""),IF(ROW()-1&lt;=$L$2+$M$2,IFERROR(INDEX(CLOZE_AB!$A:$K,ROW()-1-$L$2+1,9),""),IF(ROW()-1&lt;=$L$2+$M$2+$N$2,IFERROR(INDEX(CLOZE_LIST!$A:$K,ROW()-1-$L$2-$M$2+1,9),""),IF(ROW()-1&lt;=$L$2+$M$2+$N$2+$O$2,IFERROR(INDEX(PROFORMA!$A:$K,ROW()-1-$L$2-$M$2-$N$2+1,9),""),"")))))</f>
        <v/>
      </c>
      <c r="J697" s="3" t="str">
        <f>IF(ROW()-1&lt;=0,"",IF(ROW()-1&lt;=$L$2,IFERROR(INDEX(MCQ!$A:$K,ROW()-1+1,10),""),IF(ROW()-1&lt;=$L$2+$M$2,IFERROR(INDEX(CLOZE_AB!$A:$K,ROW()-1-$L$2+1,10),""),IF(ROW()-1&lt;=$L$2+$M$2+$N$2,IFERROR(INDEX(CLOZE_LIST!$A:$K,ROW()-1-$L$2-$M$2+1,10),""),IF(ROW()-1&lt;=$L$2+$M$2+$N$2+$O$2,IFERROR(INDEX(PROFORMA!$A:$K,ROW()-1-$L$2-$M$2-$N$2+1,10),""),"")))))</f>
        <v/>
      </c>
      <c r="K697" s="3" t="str">
        <f>IF(ROW()-1&lt;=0,"",IF(ROW()-1&lt;=$L$2,IFERROR(INDEX(MCQ!$A:$K,ROW()-1+1,11),""),IF(ROW()-1&lt;=$L$2+$M$2,IFERROR(INDEX(CLOZE_AB!$A:$K,ROW()-1-$L$2+1,11),""),IF(ROW()-1&lt;=$L$2+$M$2+$N$2,IFERROR(INDEX(CLOZE_LIST!$A:$K,ROW()-1-$L$2-$M$2+1,11),""),IF(ROW()-1&lt;=$L$2+$M$2+$N$2+$O$2,IFERROR(INDEX(PROFORMA!$A:$K,ROW()-1-$L$2-$M$2-$N$2+1,11),""),"")))))</f>
        <v/>
      </c>
      <c r="L697" s="3">
        <f>COUNTA(MCQ!$A:$A)-1</f>
        <v>122</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t="str">
        <f>IF(ROW()-1&lt;=0,"",IF(ROW()-1&lt;=$L$2,IFERROR(INDEX(MCQ!$A:$K,ROW()-1+1,2),""),IF(ROW()-1&lt;=$L$2+$M$2,IFERROR(INDEX(CLOZE_AB!$A:$K,ROW()-1-$L$2+1,2),""),IF(ROW()-1&lt;=$L$2+$M$2+$N$2,IFERROR(INDEX(CLOZE_LIST!$A:$K,ROW()-1-$L$2-$M$2+1,2),""),IF(ROW()-1&lt;=$L$2+$M$2+$N$2+$O$2,IFERROR(INDEX(PROFORMA!$A:$K,ROW()-1-$L$2-$M$2-$N$2+1,2),""),"")))))</f>
        <v/>
      </c>
      <c r="C698" s="3" t="str">
        <f>IF(ROW()-1&lt;=0,"",IF(ROW()-1&lt;=$L$2,IFERROR(INDEX(MCQ!$A:$K,ROW()-1+1,3),""),IF(ROW()-1&lt;=$L$2+$M$2,IFERROR(INDEX(CLOZE_AB!$A:$K,ROW()-1-$L$2+1,3),""),IF(ROW()-1&lt;=$L$2+$M$2+$N$2,IFERROR(INDEX(CLOZE_LIST!$A:$K,ROW()-1-$L$2-$M$2+1,3),""),IF(ROW()-1&lt;=$L$2+$M$2+$N$2+$O$2,IFERROR(INDEX(PROFORMA!$A:$K,ROW()-1-$L$2-$M$2-$N$2+1,3),""),"")))))</f>
        <v/>
      </c>
      <c r="D698" s="3" t="str">
        <f>IF(ROW()-1&lt;=0,"",IF(ROW()-1&lt;=$L$2,IFERROR(INDEX(MCQ!$A:$K,ROW()-1+1,4),""),IF(ROW()-1&lt;=$L$2+$M$2,IFERROR(INDEX(CLOZE_AB!$A:$K,ROW()-1-$L$2+1,4),""),IF(ROW()-1&lt;=$L$2+$M$2+$N$2,IFERROR(INDEX(CLOZE_LIST!$A:$K,ROW()-1-$L$2-$M$2+1,4),""),IF(ROW()-1&lt;=$L$2+$M$2+$N$2+$O$2,IFERROR(INDEX(PROFORMA!$A:$K,ROW()-1-$L$2-$M$2-$N$2+1,4),""),"")))))</f>
        <v/>
      </c>
      <c r="E698" s="3" t="str">
        <f>IF(ROW()-1&lt;=0,"",IF(ROW()-1&lt;=$L$2,IFERROR(INDEX(MCQ!$A:$K,ROW()-1+1,5),""),IF(ROW()-1&lt;=$L$2+$M$2,IFERROR(INDEX(CLOZE_AB!$A:$K,ROW()-1-$L$2+1,5),""),IF(ROW()-1&lt;=$L$2+$M$2+$N$2,IFERROR(INDEX(CLOZE_LIST!$A:$K,ROW()-1-$L$2-$M$2+1,5),""),IF(ROW()-1&lt;=$L$2+$M$2+$N$2+$O$2,IFERROR(INDEX(PROFORMA!$A:$K,ROW()-1-$L$2-$M$2-$N$2+1,5),""),"")))))</f>
        <v/>
      </c>
      <c r="F698" s="3" t="str">
        <f>IF(ROW()-1&lt;=0,"",IF(ROW()-1&lt;=$L$2,IFERROR(INDEX(MCQ!$A:$K,ROW()-1+1,6),""),IF(ROW()-1&lt;=$L$2+$M$2,IFERROR(INDEX(CLOZE_AB!$A:$K,ROW()-1-$L$2+1,6),""),IF(ROW()-1&lt;=$L$2+$M$2+$N$2,IFERROR(INDEX(CLOZE_LIST!$A:$K,ROW()-1-$L$2-$M$2+1,6),""),IF(ROW()-1&lt;=$L$2+$M$2+$N$2+$O$2,IFERROR(INDEX(PROFORMA!$A:$K,ROW()-1-$L$2-$M$2-$N$2+1,6),""),"")))))</f>
        <v/>
      </c>
      <c r="G698" s="3" t="str">
        <f>IF(ROW()-1&lt;=0,"",IF(ROW()-1&lt;=$L$2,IFERROR(INDEX(MCQ!$A:$K,ROW()-1+1,7),""),IF(ROW()-1&lt;=$L$2+$M$2,IFERROR(INDEX(CLOZE_AB!$A:$K,ROW()-1-$L$2+1,7),""),IF(ROW()-1&lt;=$L$2+$M$2+$N$2,IFERROR(INDEX(CLOZE_LIST!$A:$K,ROW()-1-$L$2-$M$2+1,7),""),IF(ROW()-1&lt;=$L$2+$M$2+$N$2+$O$2,IFERROR(INDEX(PROFORMA!$A:$K,ROW()-1-$L$2-$M$2-$N$2+1,7),""),"")))))</f>
        <v/>
      </c>
      <c r="H698" s="3" t="str">
        <f>IF(ROW()-1&lt;=0,"",IF(ROW()-1&lt;=$L$2,IFERROR(INDEX(MCQ!$A:$K,ROW()-1+1,8),""),IF(ROW()-1&lt;=$L$2+$M$2,IFERROR(INDEX(CLOZE_AB!$A:$K,ROW()-1-$L$2+1,8),""),IF(ROW()-1&lt;=$L$2+$M$2+$N$2,IFERROR(INDEX(CLOZE_LIST!$A:$K,ROW()-1-$L$2-$M$2+1,8),""),IF(ROW()-1&lt;=$L$2+$M$2+$N$2+$O$2,IFERROR(INDEX(PROFORMA!$A:$K,ROW()-1-$L$2-$M$2-$N$2+1,8),""),"")))))</f>
        <v/>
      </c>
      <c r="I698" s="3" t="str">
        <f>IF(ROW()-1&lt;=0,"",IF(ROW()-1&lt;=$L$2,IFERROR(INDEX(MCQ!$A:$K,ROW()-1+1,9),""),IF(ROW()-1&lt;=$L$2+$M$2,IFERROR(INDEX(CLOZE_AB!$A:$K,ROW()-1-$L$2+1,9),""),IF(ROW()-1&lt;=$L$2+$M$2+$N$2,IFERROR(INDEX(CLOZE_LIST!$A:$K,ROW()-1-$L$2-$M$2+1,9),""),IF(ROW()-1&lt;=$L$2+$M$2+$N$2+$O$2,IFERROR(INDEX(PROFORMA!$A:$K,ROW()-1-$L$2-$M$2-$N$2+1,9),""),"")))))</f>
        <v/>
      </c>
      <c r="J698" s="3" t="str">
        <f>IF(ROW()-1&lt;=0,"",IF(ROW()-1&lt;=$L$2,IFERROR(INDEX(MCQ!$A:$K,ROW()-1+1,10),""),IF(ROW()-1&lt;=$L$2+$M$2,IFERROR(INDEX(CLOZE_AB!$A:$K,ROW()-1-$L$2+1,10),""),IF(ROW()-1&lt;=$L$2+$M$2+$N$2,IFERROR(INDEX(CLOZE_LIST!$A:$K,ROW()-1-$L$2-$M$2+1,10),""),IF(ROW()-1&lt;=$L$2+$M$2+$N$2+$O$2,IFERROR(INDEX(PROFORMA!$A:$K,ROW()-1-$L$2-$M$2-$N$2+1,10),""),"")))))</f>
        <v/>
      </c>
      <c r="K698" s="3" t="str">
        <f>IF(ROW()-1&lt;=0,"",IF(ROW()-1&lt;=$L$2,IFERROR(INDEX(MCQ!$A:$K,ROW()-1+1,11),""),IF(ROW()-1&lt;=$L$2+$M$2,IFERROR(INDEX(CLOZE_AB!$A:$K,ROW()-1-$L$2+1,11),""),IF(ROW()-1&lt;=$L$2+$M$2+$N$2,IFERROR(INDEX(CLOZE_LIST!$A:$K,ROW()-1-$L$2-$M$2+1,11),""),IF(ROW()-1&lt;=$L$2+$M$2+$N$2+$O$2,IFERROR(INDEX(PROFORMA!$A:$K,ROW()-1-$L$2-$M$2-$N$2+1,11),""),"")))))</f>
        <v/>
      </c>
      <c r="L698" s="3">
        <f>COUNTA(MCQ!$A:$A)-1</f>
        <v>122</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t="str">
        <f>IF(ROW()-1&lt;=0,"",IF(ROW()-1&lt;=$L$2,IFERROR(INDEX(MCQ!$A:$K,ROW()-1+1,2),""),IF(ROW()-1&lt;=$L$2+$M$2,IFERROR(INDEX(CLOZE_AB!$A:$K,ROW()-1-$L$2+1,2),""),IF(ROW()-1&lt;=$L$2+$M$2+$N$2,IFERROR(INDEX(CLOZE_LIST!$A:$K,ROW()-1-$L$2-$M$2+1,2),""),IF(ROW()-1&lt;=$L$2+$M$2+$N$2+$O$2,IFERROR(INDEX(PROFORMA!$A:$K,ROW()-1-$L$2-$M$2-$N$2+1,2),""),"")))))</f>
        <v/>
      </c>
      <c r="C699" s="3" t="str">
        <f>IF(ROW()-1&lt;=0,"",IF(ROW()-1&lt;=$L$2,IFERROR(INDEX(MCQ!$A:$K,ROW()-1+1,3),""),IF(ROW()-1&lt;=$L$2+$M$2,IFERROR(INDEX(CLOZE_AB!$A:$K,ROW()-1-$L$2+1,3),""),IF(ROW()-1&lt;=$L$2+$M$2+$N$2,IFERROR(INDEX(CLOZE_LIST!$A:$K,ROW()-1-$L$2-$M$2+1,3),""),IF(ROW()-1&lt;=$L$2+$M$2+$N$2+$O$2,IFERROR(INDEX(PROFORMA!$A:$K,ROW()-1-$L$2-$M$2-$N$2+1,3),""),"")))))</f>
        <v/>
      </c>
      <c r="D699" s="3" t="str">
        <f>IF(ROW()-1&lt;=0,"",IF(ROW()-1&lt;=$L$2,IFERROR(INDEX(MCQ!$A:$K,ROW()-1+1,4),""),IF(ROW()-1&lt;=$L$2+$M$2,IFERROR(INDEX(CLOZE_AB!$A:$K,ROW()-1-$L$2+1,4),""),IF(ROW()-1&lt;=$L$2+$M$2+$N$2,IFERROR(INDEX(CLOZE_LIST!$A:$K,ROW()-1-$L$2-$M$2+1,4),""),IF(ROW()-1&lt;=$L$2+$M$2+$N$2+$O$2,IFERROR(INDEX(PROFORMA!$A:$K,ROW()-1-$L$2-$M$2-$N$2+1,4),""),"")))))</f>
        <v/>
      </c>
      <c r="E699" s="3" t="str">
        <f>IF(ROW()-1&lt;=0,"",IF(ROW()-1&lt;=$L$2,IFERROR(INDEX(MCQ!$A:$K,ROW()-1+1,5),""),IF(ROW()-1&lt;=$L$2+$M$2,IFERROR(INDEX(CLOZE_AB!$A:$K,ROW()-1-$L$2+1,5),""),IF(ROW()-1&lt;=$L$2+$M$2+$N$2,IFERROR(INDEX(CLOZE_LIST!$A:$K,ROW()-1-$L$2-$M$2+1,5),""),IF(ROW()-1&lt;=$L$2+$M$2+$N$2+$O$2,IFERROR(INDEX(PROFORMA!$A:$K,ROW()-1-$L$2-$M$2-$N$2+1,5),""),"")))))</f>
        <v/>
      </c>
      <c r="F699" s="3" t="str">
        <f>IF(ROW()-1&lt;=0,"",IF(ROW()-1&lt;=$L$2,IFERROR(INDEX(MCQ!$A:$K,ROW()-1+1,6),""),IF(ROW()-1&lt;=$L$2+$M$2,IFERROR(INDEX(CLOZE_AB!$A:$K,ROW()-1-$L$2+1,6),""),IF(ROW()-1&lt;=$L$2+$M$2+$N$2,IFERROR(INDEX(CLOZE_LIST!$A:$K,ROW()-1-$L$2-$M$2+1,6),""),IF(ROW()-1&lt;=$L$2+$M$2+$N$2+$O$2,IFERROR(INDEX(PROFORMA!$A:$K,ROW()-1-$L$2-$M$2-$N$2+1,6),""),"")))))</f>
        <v/>
      </c>
      <c r="G699" s="3" t="str">
        <f>IF(ROW()-1&lt;=0,"",IF(ROW()-1&lt;=$L$2,IFERROR(INDEX(MCQ!$A:$K,ROW()-1+1,7),""),IF(ROW()-1&lt;=$L$2+$M$2,IFERROR(INDEX(CLOZE_AB!$A:$K,ROW()-1-$L$2+1,7),""),IF(ROW()-1&lt;=$L$2+$M$2+$N$2,IFERROR(INDEX(CLOZE_LIST!$A:$K,ROW()-1-$L$2-$M$2+1,7),""),IF(ROW()-1&lt;=$L$2+$M$2+$N$2+$O$2,IFERROR(INDEX(PROFORMA!$A:$K,ROW()-1-$L$2-$M$2-$N$2+1,7),""),"")))))</f>
        <v/>
      </c>
      <c r="H699" s="3" t="str">
        <f>IF(ROW()-1&lt;=0,"",IF(ROW()-1&lt;=$L$2,IFERROR(INDEX(MCQ!$A:$K,ROW()-1+1,8),""),IF(ROW()-1&lt;=$L$2+$M$2,IFERROR(INDEX(CLOZE_AB!$A:$K,ROW()-1-$L$2+1,8),""),IF(ROW()-1&lt;=$L$2+$M$2+$N$2,IFERROR(INDEX(CLOZE_LIST!$A:$K,ROW()-1-$L$2-$M$2+1,8),""),IF(ROW()-1&lt;=$L$2+$M$2+$N$2+$O$2,IFERROR(INDEX(PROFORMA!$A:$K,ROW()-1-$L$2-$M$2-$N$2+1,8),""),"")))))</f>
        <v/>
      </c>
      <c r="I699" s="3" t="str">
        <f>IF(ROW()-1&lt;=0,"",IF(ROW()-1&lt;=$L$2,IFERROR(INDEX(MCQ!$A:$K,ROW()-1+1,9),""),IF(ROW()-1&lt;=$L$2+$M$2,IFERROR(INDEX(CLOZE_AB!$A:$K,ROW()-1-$L$2+1,9),""),IF(ROW()-1&lt;=$L$2+$M$2+$N$2,IFERROR(INDEX(CLOZE_LIST!$A:$K,ROW()-1-$L$2-$M$2+1,9),""),IF(ROW()-1&lt;=$L$2+$M$2+$N$2+$O$2,IFERROR(INDEX(PROFORMA!$A:$K,ROW()-1-$L$2-$M$2-$N$2+1,9),""),"")))))</f>
        <v/>
      </c>
      <c r="J699" s="3" t="str">
        <f>IF(ROW()-1&lt;=0,"",IF(ROW()-1&lt;=$L$2,IFERROR(INDEX(MCQ!$A:$K,ROW()-1+1,10),""),IF(ROW()-1&lt;=$L$2+$M$2,IFERROR(INDEX(CLOZE_AB!$A:$K,ROW()-1-$L$2+1,10),""),IF(ROW()-1&lt;=$L$2+$M$2+$N$2,IFERROR(INDEX(CLOZE_LIST!$A:$K,ROW()-1-$L$2-$M$2+1,10),""),IF(ROW()-1&lt;=$L$2+$M$2+$N$2+$O$2,IFERROR(INDEX(PROFORMA!$A:$K,ROW()-1-$L$2-$M$2-$N$2+1,10),""),"")))))</f>
        <v/>
      </c>
      <c r="K699" s="3" t="str">
        <f>IF(ROW()-1&lt;=0,"",IF(ROW()-1&lt;=$L$2,IFERROR(INDEX(MCQ!$A:$K,ROW()-1+1,11),""),IF(ROW()-1&lt;=$L$2+$M$2,IFERROR(INDEX(CLOZE_AB!$A:$K,ROW()-1-$L$2+1,11),""),IF(ROW()-1&lt;=$L$2+$M$2+$N$2,IFERROR(INDEX(CLOZE_LIST!$A:$K,ROW()-1-$L$2-$M$2+1,11),""),IF(ROW()-1&lt;=$L$2+$M$2+$N$2+$O$2,IFERROR(INDEX(PROFORMA!$A:$K,ROW()-1-$L$2-$M$2-$N$2+1,11),""),"")))))</f>
        <v/>
      </c>
      <c r="L699" s="3">
        <f>COUNTA(MCQ!$A:$A)-1</f>
        <v>122</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t="str">
        <f>IF(ROW()-1&lt;=0,"",IF(ROW()-1&lt;=$L$2,IFERROR(INDEX(MCQ!$A:$K,ROW()-1+1,2),""),IF(ROW()-1&lt;=$L$2+$M$2,IFERROR(INDEX(CLOZE_AB!$A:$K,ROW()-1-$L$2+1,2),""),IF(ROW()-1&lt;=$L$2+$M$2+$N$2,IFERROR(INDEX(CLOZE_LIST!$A:$K,ROW()-1-$L$2-$M$2+1,2),""),IF(ROW()-1&lt;=$L$2+$M$2+$N$2+$O$2,IFERROR(INDEX(PROFORMA!$A:$K,ROW()-1-$L$2-$M$2-$N$2+1,2),""),"")))))</f>
        <v/>
      </c>
      <c r="C700" s="3" t="str">
        <f>IF(ROW()-1&lt;=0,"",IF(ROW()-1&lt;=$L$2,IFERROR(INDEX(MCQ!$A:$K,ROW()-1+1,3),""),IF(ROW()-1&lt;=$L$2+$M$2,IFERROR(INDEX(CLOZE_AB!$A:$K,ROW()-1-$L$2+1,3),""),IF(ROW()-1&lt;=$L$2+$M$2+$N$2,IFERROR(INDEX(CLOZE_LIST!$A:$K,ROW()-1-$L$2-$M$2+1,3),""),IF(ROW()-1&lt;=$L$2+$M$2+$N$2+$O$2,IFERROR(INDEX(PROFORMA!$A:$K,ROW()-1-$L$2-$M$2-$N$2+1,3),""),"")))))</f>
        <v/>
      </c>
      <c r="D700" s="3" t="str">
        <f>IF(ROW()-1&lt;=0,"",IF(ROW()-1&lt;=$L$2,IFERROR(INDEX(MCQ!$A:$K,ROW()-1+1,4),""),IF(ROW()-1&lt;=$L$2+$M$2,IFERROR(INDEX(CLOZE_AB!$A:$K,ROW()-1-$L$2+1,4),""),IF(ROW()-1&lt;=$L$2+$M$2+$N$2,IFERROR(INDEX(CLOZE_LIST!$A:$K,ROW()-1-$L$2-$M$2+1,4),""),IF(ROW()-1&lt;=$L$2+$M$2+$N$2+$O$2,IFERROR(INDEX(PROFORMA!$A:$K,ROW()-1-$L$2-$M$2-$N$2+1,4),""),"")))))</f>
        <v/>
      </c>
      <c r="E700" s="3" t="str">
        <f>IF(ROW()-1&lt;=0,"",IF(ROW()-1&lt;=$L$2,IFERROR(INDEX(MCQ!$A:$K,ROW()-1+1,5),""),IF(ROW()-1&lt;=$L$2+$M$2,IFERROR(INDEX(CLOZE_AB!$A:$K,ROW()-1-$L$2+1,5),""),IF(ROW()-1&lt;=$L$2+$M$2+$N$2,IFERROR(INDEX(CLOZE_LIST!$A:$K,ROW()-1-$L$2-$M$2+1,5),""),IF(ROW()-1&lt;=$L$2+$M$2+$N$2+$O$2,IFERROR(INDEX(PROFORMA!$A:$K,ROW()-1-$L$2-$M$2-$N$2+1,5),""),"")))))</f>
        <v/>
      </c>
      <c r="F700" s="3" t="str">
        <f>IF(ROW()-1&lt;=0,"",IF(ROW()-1&lt;=$L$2,IFERROR(INDEX(MCQ!$A:$K,ROW()-1+1,6),""),IF(ROW()-1&lt;=$L$2+$M$2,IFERROR(INDEX(CLOZE_AB!$A:$K,ROW()-1-$L$2+1,6),""),IF(ROW()-1&lt;=$L$2+$M$2+$N$2,IFERROR(INDEX(CLOZE_LIST!$A:$K,ROW()-1-$L$2-$M$2+1,6),""),IF(ROW()-1&lt;=$L$2+$M$2+$N$2+$O$2,IFERROR(INDEX(PROFORMA!$A:$K,ROW()-1-$L$2-$M$2-$N$2+1,6),""),"")))))</f>
        <v/>
      </c>
      <c r="G700" s="3" t="str">
        <f>IF(ROW()-1&lt;=0,"",IF(ROW()-1&lt;=$L$2,IFERROR(INDEX(MCQ!$A:$K,ROW()-1+1,7),""),IF(ROW()-1&lt;=$L$2+$M$2,IFERROR(INDEX(CLOZE_AB!$A:$K,ROW()-1-$L$2+1,7),""),IF(ROW()-1&lt;=$L$2+$M$2+$N$2,IFERROR(INDEX(CLOZE_LIST!$A:$K,ROW()-1-$L$2-$M$2+1,7),""),IF(ROW()-1&lt;=$L$2+$M$2+$N$2+$O$2,IFERROR(INDEX(PROFORMA!$A:$K,ROW()-1-$L$2-$M$2-$N$2+1,7),""),"")))))</f>
        <v/>
      </c>
      <c r="H700" s="3" t="str">
        <f>IF(ROW()-1&lt;=0,"",IF(ROW()-1&lt;=$L$2,IFERROR(INDEX(MCQ!$A:$K,ROW()-1+1,8),""),IF(ROW()-1&lt;=$L$2+$M$2,IFERROR(INDEX(CLOZE_AB!$A:$K,ROW()-1-$L$2+1,8),""),IF(ROW()-1&lt;=$L$2+$M$2+$N$2,IFERROR(INDEX(CLOZE_LIST!$A:$K,ROW()-1-$L$2-$M$2+1,8),""),IF(ROW()-1&lt;=$L$2+$M$2+$N$2+$O$2,IFERROR(INDEX(PROFORMA!$A:$K,ROW()-1-$L$2-$M$2-$N$2+1,8),""),"")))))</f>
        <v/>
      </c>
      <c r="I700" s="3" t="str">
        <f>IF(ROW()-1&lt;=0,"",IF(ROW()-1&lt;=$L$2,IFERROR(INDEX(MCQ!$A:$K,ROW()-1+1,9),""),IF(ROW()-1&lt;=$L$2+$M$2,IFERROR(INDEX(CLOZE_AB!$A:$K,ROW()-1-$L$2+1,9),""),IF(ROW()-1&lt;=$L$2+$M$2+$N$2,IFERROR(INDEX(CLOZE_LIST!$A:$K,ROW()-1-$L$2-$M$2+1,9),""),IF(ROW()-1&lt;=$L$2+$M$2+$N$2+$O$2,IFERROR(INDEX(PROFORMA!$A:$K,ROW()-1-$L$2-$M$2-$N$2+1,9),""),"")))))</f>
        <v/>
      </c>
      <c r="J700" s="3" t="str">
        <f>IF(ROW()-1&lt;=0,"",IF(ROW()-1&lt;=$L$2,IFERROR(INDEX(MCQ!$A:$K,ROW()-1+1,10),""),IF(ROW()-1&lt;=$L$2+$M$2,IFERROR(INDEX(CLOZE_AB!$A:$K,ROW()-1-$L$2+1,10),""),IF(ROW()-1&lt;=$L$2+$M$2+$N$2,IFERROR(INDEX(CLOZE_LIST!$A:$K,ROW()-1-$L$2-$M$2+1,10),""),IF(ROW()-1&lt;=$L$2+$M$2+$N$2+$O$2,IFERROR(INDEX(PROFORMA!$A:$K,ROW()-1-$L$2-$M$2-$N$2+1,10),""),"")))))</f>
        <v/>
      </c>
      <c r="K700" s="3" t="str">
        <f>IF(ROW()-1&lt;=0,"",IF(ROW()-1&lt;=$L$2,IFERROR(INDEX(MCQ!$A:$K,ROW()-1+1,11),""),IF(ROW()-1&lt;=$L$2+$M$2,IFERROR(INDEX(CLOZE_AB!$A:$K,ROW()-1-$L$2+1,11),""),IF(ROW()-1&lt;=$L$2+$M$2+$N$2,IFERROR(INDEX(CLOZE_LIST!$A:$K,ROW()-1-$L$2-$M$2+1,11),""),IF(ROW()-1&lt;=$L$2+$M$2+$N$2+$O$2,IFERROR(INDEX(PROFORMA!$A:$K,ROW()-1-$L$2-$M$2-$N$2+1,11),""),"")))))</f>
        <v/>
      </c>
      <c r="L700" s="3">
        <f>COUNTA(MCQ!$A:$A)-1</f>
        <v>122</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t="str">
        <f>IF(ROW()-1&lt;=0,"",IF(ROW()-1&lt;=$L$2,IFERROR(INDEX(MCQ!$A:$K,ROW()-1+1,2),""),IF(ROW()-1&lt;=$L$2+$M$2,IFERROR(INDEX(CLOZE_AB!$A:$K,ROW()-1-$L$2+1,2),""),IF(ROW()-1&lt;=$L$2+$M$2+$N$2,IFERROR(INDEX(CLOZE_LIST!$A:$K,ROW()-1-$L$2-$M$2+1,2),""),IF(ROW()-1&lt;=$L$2+$M$2+$N$2+$O$2,IFERROR(INDEX(PROFORMA!$A:$K,ROW()-1-$L$2-$M$2-$N$2+1,2),""),"")))))</f>
        <v/>
      </c>
      <c r="C701" s="3" t="str">
        <f>IF(ROW()-1&lt;=0,"",IF(ROW()-1&lt;=$L$2,IFERROR(INDEX(MCQ!$A:$K,ROW()-1+1,3),""),IF(ROW()-1&lt;=$L$2+$M$2,IFERROR(INDEX(CLOZE_AB!$A:$K,ROW()-1-$L$2+1,3),""),IF(ROW()-1&lt;=$L$2+$M$2+$N$2,IFERROR(INDEX(CLOZE_LIST!$A:$K,ROW()-1-$L$2-$M$2+1,3),""),IF(ROW()-1&lt;=$L$2+$M$2+$N$2+$O$2,IFERROR(INDEX(PROFORMA!$A:$K,ROW()-1-$L$2-$M$2-$N$2+1,3),""),"")))))</f>
        <v/>
      </c>
      <c r="D701" s="3" t="str">
        <f>IF(ROW()-1&lt;=0,"",IF(ROW()-1&lt;=$L$2,IFERROR(INDEX(MCQ!$A:$K,ROW()-1+1,4),""),IF(ROW()-1&lt;=$L$2+$M$2,IFERROR(INDEX(CLOZE_AB!$A:$K,ROW()-1-$L$2+1,4),""),IF(ROW()-1&lt;=$L$2+$M$2+$N$2,IFERROR(INDEX(CLOZE_LIST!$A:$K,ROW()-1-$L$2-$M$2+1,4),""),IF(ROW()-1&lt;=$L$2+$M$2+$N$2+$O$2,IFERROR(INDEX(PROFORMA!$A:$K,ROW()-1-$L$2-$M$2-$N$2+1,4),""),"")))))</f>
        <v/>
      </c>
      <c r="E701" s="3" t="str">
        <f>IF(ROW()-1&lt;=0,"",IF(ROW()-1&lt;=$L$2,IFERROR(INDEX(MCQ!$A:$K,ROW()-1+1,5),""),IF(ROW()-1&lt;=$L$2+$M$2,IFERROR(INDEX(CLOZE_AB!$A:$K,ROW()-1-$L$2+1,5),""),IF(ROW()-1&lt;=$L$2+$M$2+$N$2,IFERROR(INDEX(CLOZE_LIST!$A:$K,ROW()-1-$L$2-$M$2+1,5),""),IF(ROW()-1&lt;=$L$2+$M$2+$N$2+$O$2,IFERROR(INDEX(PROFORMA!$A:$K,ROW()-1-$L$2-$M$2-$N$2+1,5),""),"")))))</f>
        <v/>
      </c>
      <c r="F701" s="3" t="str">
        <f>IF(ROW()-1&lt;=0,"",IF(ROW()-1&lt;=$L$2,IFERROR(INDEX(MCQ!$A:$K,ROW()-1+1,6),""),IF(ROW()-1&lt;=$L$2+$M$2,IFERROR(INDEX(CLOZE_AB!$A:$K,ROW()-1-$L$2+1,6),""),IF(ROW()-1&lt;=$L$2+$M$2+$N$2,IFERROR(INDEX(CLOZE_LIST!$A:$K,ROW()-1-$L$2-$M$2+1,6),""),IF(ROW()-1&lt;=$L$2+$M$2+$N$2+$O$2,IFERROR(INDEX(PROFORMA!$A:$K,ROW()-1-$L$2-$M$2-$N$2+1,6),""),"")))))</f>
        <v/>
      </c>
      <c r="G701" s="3" t="str">
        <f>IF(ROW()-1&lt;=0,"",IF(ROW()-1&lt;=$L$2,IFERROR(INDEX(MCQ!$A:$K,ROW()-1+1,7),""),IF(ROW()-1&lt;=$L$2+$M$2,IFERROR(INDEX(CLOZE_AB!$A:$K,ROW()-1-$L$2+1,7),""),IF(ROW()-1&lt;=$L$2+$M$2+$N$2,IFERROR(INDEX(CLOZE_LIST!$A:$K,ROW()-1-$L$2-$M$2+1,7),""),IF(ROW()-1&lt;=$L$2+$M$2+$N$2+$O$2,IFERROR(INDEX(PROFORMA!$A:$K,ROW()-1-$L$2-$M$2-$N$2+1,7),""),"")))))</f>
        <v/>
      </c>
      <c r="H701" s="3" t="str">
        <f>IF(ROW()-1&lt;=0,"",IF(ROW()-1&lt;=$L$2,IFERROR(INDEX(MCQ!$A:$K,ROW()-1+1,8),""),IF(ROW()-1&lt;=$L$2+$M$2,IFERROR(INDEX(CLOZE_AB!$A:$K,ROW()-1-$L$2+1,8),""),IF(ROW()-1&lt;=$L$2+$M$2+$N$2,IFERROR(INDEX(CLOZE_LIST!$A:$K,ROW()-1-$L$2-$M$2+1,8),""),IF(ROW()-1&lt;=$L$2+$M$2+$N$2+$O$2,IFERROR(INDEX(PROFORMA!$A:$K,ROW()-1-$L$2-$M$2-$N$2+1,8),""),"")))))</f>
        <v/>
      </c>
      <c r="I701" s="3" t="str">
        <f>IF(ROW()-1&lt;=0,"",IF(ROW()-1&lt;=$L$2,IFERROR(INDEX(MCQ!$A:$K,ROW()-1+1,9),""),IF(ROW()-1&lt;=$L$2+$M$2,IFERROR(INDEX(CLOZE_AB!$A:$K,ROW()-1-$L$2+1,9),""),IF(ROW()-1&lt;=$L$2+$M$2+$N$2,IFERROR(INDEX(CLOZE_LIST!$A:$K,ROW()-1-$L$2-$M$2+1,9),""),IF(ROW()-1&lt;=$L$2+$M$2+$N$2+$O$2,IFERROR(INDEX(PROFORMA!$A:$K,ROW()-1-$L$2-$M$2-$N$2+1,9),""),"")))))</f>
        <v/>
      </c>
      <c r="J701" s="3" t="str">
        <f>IF(ROW()-1&lt;=0,"",IF(ROW()-1&lt;=$L$2,IFERROR(INDEX(MCQ!$A:$K,ROW()-1+1,10),""),IF(ROW()-1&lt;=$L$2+$M$2,IFERROR(INDEX(CLOZE_AB!$A:$K,ROW()-1-$L$2+1,10),""),IF(ROW()-1&lt;=$L$2+$M$2+$N$2,IFERROR(INDEX(CLOZE_LIST!$A:$K,ROW()-1-$L$2-$M$2+1,10),""),IF(ROW()-1&lt;=$L$2+$M$2+$N$2+$O$2,IFERROR(INDEX(PROFORMA!$A:$K,ROW()-1-$L$2-$M$2-$N$2+1,10),""),"")))))</f>
        <v/>
      </c>
      <c r="K701" s="3" t="str">
        <f>IF(ROW()-1&lt;=0,"",IF(ROW()-1&lt;=$L$2,IFERROR(INDEX(MCQ!$A:$K,ROW()-1+1,11),""),IF(ROW()-1&lt;=$L$2+$M$2,IFERROR(INDEX(CLOZE_AB!$A:$K,ROW()-1-$L$2+1,11),""),IF(ROW()-1&lt;=$L$2+$M$2+$N$2,IFERROR(INDEX(CLOZE_LIST!$A:$K,ROW()-1-$L$2-$M$2+1,11),""),IF(ROW()-1&lt;=$L$2+$M$2+$N$2+$O$2,IFERROR(INDEX(PROFORMA!$A:$K,ROW()-1-$L$2-$M$2-$N$2+1,11),""),"")))))</f>
        <v/>
      </c>
      <c r="L701" s="3">
        <f>COUNTA(MCQ!$A:$A)-1</f>
        <v>122</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t="str">
        <f>IF(ROW()-1&lt;=0,"",IF(ROW()-1&lt;=$L$2,IFERROR(INDEX(MCQ!$A:$K,ROW()-1+1,2),""),IF(ROW()-1&lt;=$L$2+$M$2,IFERROR(INDEX(CLOZE_AB!$A:$K,ROW()-1-$L$2+1,2),""),IF(ROW()-1&lt;=$L$2+$M$2+$N$2,IFERROR(INDEX(CLOZE_LIST!$A:$K,ROW()-1-$L$2-$M$2+1,2),""),IF(ROW()-1&lt;=$L$2+$M$2+$N$2+$O$2,IFERROR(INDEX(PROFORMA!$A:$K,ROW()-1-$L$2-$M$2-$N$2+1,2),""),"")))))</f>
        <v/>
      </c>
      <c r="C702" s="3" t="str">
        <f>IF(ROW()-1&lt;=0,"",IF(ROW()-1&lt;=$L$2,IFERROR(INDEX(MCQ!$A:$K,ROW()-1+1,3),""),IF(ROW()-1&lt;=$L$2+$M$2,IFERROR(INDEX(CLOZE_AB!$A:$K,ROW()-1-$L$2+1,3),""),IF(ROW()-1&lt;=$L$2+$M$2+$N$2,IFERROR(INDEX(CLOZE_LIST!$A:$K,ROW()-1-$L$2-$M$2+1,3),""),IF(ROW()-1&lt;=$L$2+$M$2+$N$2+$O$2,IFERROR(INDEX(PROFORMA!$A:$K,ROW()-1-$L$2-$M$2-$N$2+1,3),""),"")))))</f>
        <v/>
      </c>
      <c r="D702" s="3" t="str">
        <f>IF(ROW()-1&lt;=0,"",IF(ROW()-1&lt;=$L$2,IFERROR(INDEX(MCQ!$A:$K,ROW()-1+1,4),""),IF(ROW()-1&lt;=$L$2+$M$2,IFERROR(INDEX(CLOZE_AB!$A:$K,ROW()-1-$L$2+1,4),""),IF(ROW()-1&lt;=$L$2+$M$2+$N$2,IFERROR(INDEX(CLOZE_LIST!$A:$K,ROW()-1-$L$2-$M$2+1,4),""),IF(ROW()-1&lt;=$L$2+$M$2+$N$2+$O$2,IFERROR(INDEX(PROFORMA!$A:$K,ROW()-1-$L$2-$M$2-$N$2+1,4),""),"")))))</f>
        <v/>
      </c>
      <c r="E702" s="3" t="str">
        <f>IF(ROW()-1&lt;=0,"",IF(ROW()-1&lt;=$L$2,IFERROR(INDEX(MCQ!$A:$K,ROW()-1+1,5),""),IF(ROW()-1&lt;=$L$2+$M$2,IFERROR(INDEX(CLOZE_AB!$A:$K,ROW()-1-$L$2+1,5),""),IF(ROW()-1&lt;=$L$2+$M$2+$N$2,IFERROR(INDEX(CLOZE_LIST!$A:$K,ROW()-1-$L$2-$M$2+1,5),""),IF(ROW()-1&lt;=$L$2+$M$2+$N$2+$O$2,IFERROR(INDEX(PROFORMA!$A:$K,ROW()-1-$L$2-$M$2-$N$2+1,5),""),"")))))</f>
        <v/>
      </c>
      <c r="F702" s="3" t="str">
        <f>IF(ROW()-1&lt;=0,"",IF(ROW()-1&lt;=$L$2,IFERROR(INDEX(MCQ!$A:$K,ROW()-1+1,6),""),IF(ROW()-1&lt;=$L$2+$M$2,IFERROR(INDEX(CLOZE_AB!$A:$K,ROW()-1-$L$2+1,6),""),IF(ROW()-1&lt;=$L$2+$M$2+$N$2,IFERROR(INDEX(CLOZE_LIST!$A:$K,ROW()-1-$L$2-$M$2+1,6),""),IF(ROW()-1&lt;=$L$2+$M$2+$N$2+$O$2,IFERROR(INDEX(PROFORMA!$A:$K,ROW()-1-$L$2-$M$2-$N$2+1,6),""),"")))))</f>
        <v/>
      </c>
      <c r="G702" s="3" t="str">
        <f>IF(ROW()-1&lt;=0,"",IF(ROW()-1&lt;=$L$2,IFERROR(INDEX(MCQ!$A:$K,ROW()-1+1,7),""),IF(ROW()-1&lt;=$L$2+$M$2,IFERROR(INDEX(CLOZE_AB!$A:$K,ROW()-1-$L$2+1,7),""),IF(ROW()-1&lt;=$L$2+$M$2+$N$2,IFERROR(INDEX(CLOZE_LIST!$A:$K,ROW()-1-$L$2-$M$2+1,7),""),IF(ROW()-1&lt;=$L$2+$M$2+$N$2+$O$2,IFERROR(INDEX(PROFORMA!$A:$K,ROW()-1-$L$2-$M$2-$N$2+1,7),""),"")))))</f>
        <v/>
      </c>
      <c r="H702" s="3" t="str">
        <f>IF(ROW()-1&lt;=0,"",IF(ROW()-1&lt;=$L$2,IFERROR(INDEX(MCQ!$A:$K,ROW()-1+1,8),""),IF(ROW()-1&lt;=$L$2+$M$2,IFERROR(INDEX(CLOZE_AB!$A:$K,ROW()-1-$L$2+1,8),""),IF(ROW()-1&lt;=$L$2+$M$2+$N$2,IFERROR(INDEX(CLOZE_LIST!$A:$K,ROW()-1-$L$2-$M$2+1,8),""),IF(ROW()-1&lt;=$L$2+$M$2+$N$2+$O$2,IFERROR(INDEX(PROFORMA!$A:$K,ROW()-1-$L$2-$M$2-$N$2+1,8),""),"")))))</f>
        <v/>
      </c>
      <c r="I702" s="3" t="str">
        <f>IF(ROW()-1&lt;=0,"",IF(ROW()-1&lt;=$L$2,IFERROR(INDEX(MCQ!$A:$K,ROW()-1+1,9),""),IF(ROW()-1&lt;=$L$2+$M$2,IFERROR(INDEX(CLOZE_AB!$A:$K,ROW()-1-$L$2+1,9),""),IF(ROW()-1&lt;=$L$2+$M$2+$N$2,IFERROR(INDEX(CLOZE_LIST!$A:$K,ROW()-1-$L$2-$M$2+1,9),""),IF(ROW()-1&lt;=$L$2+$M$2+$N$2+$O$2,IFERROR(INDEX(PROFORMA!$A:$K,ROW()-1-$L$2-$M$2-$N$2+1,9),""),"")))))</f>
        <v/>
      </c>
      <c r="J702" s="3" t="str">
        <f>IF(ROW()-1&lt;=0,"",IF(ROW()-1&lt;=$L$2,IFERROR(INDEX(MCQ!$A:$K,ROW()-1+1,10),""),IF(ROW()-1&lt;=$L$2+$M$2,IFERROR(INDEX(CLOZE_AB!$A:$K,ROW()-1-$L$2+1,10),""),IF(ROW()-1&lt;=$L$2+$M$2+$N$2,IFERROR(INDEX(CLOZE_LIST!$A:$K,ROW()-1-$L$2-$M$2+1,10),""),IF(ROW()-1&lt;=$L$2+$M$2+$N$2+$O$2,IFERROR(INDEX(PROFORMA!$A:$K,ROW()-1-$L$2-$M$2-$N$2+1,10),""),"")))))</f>
        <v/>
      </c>
      <c r="K702" s="3" t="str">
        <f>IF(ROW()-1&lt;=0,"",IF(ROW()-1&lt;=$L$2,IFERROR(INDEX(MCQ!$A:$K,ROW()-1+1,11),""),IF(ROW()-1&lt;=$L$2+$M$2,IFERROR(INDEX(CLOZE_AB!$A:$K,ROW()-1-$L$2+1,11),""),IF(ROW()-1&lt;=$L$2+$M$2+$N$2,IFERROR(INDEX(CLOZE_LIST!$A:$K,ROW()-1-$L$2-$M$2+1,11),""),IF(ROW()-1&lt;=$L$2+$M$2+$N$2+$O$2,IFERROR(INDEX(PROFORMA!$A:$K,ROW()-1-$L$2-$M$2-$N$2+1,11),""),"")))))</f>
        <v/>
      </c>
      <c r="L702" s="3">
        <f>COUNTA(MCQ!$A:$A)-1</f>
        <v>122</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t="str">
        <f>IF(ROW()-1&lt;=0,"",IF(ROW()-1&lt;=$L$2,IFERROR(INDEX(MCQ!$A:$K,ROW()-1+1,2),""),IF(ROW()-1&lt;=$L$2+$M$2,IFERROR(INDEX(CLOZE_AB!$A:$K,ROW()-1-$L$2+1,2),""),IF(ROW()-1&lt;=$L$2+$M$2+$N$2,IFERROR(INDEX(CLOZE_LIST!$A:$K,ROW()-1-$L$2-$M$2+1,2),""),IF(ROW()-1&lt;=$L$2+$M$2+$N$2+$O$2,IFERROR(INDEX(PROFORMA!$A:$K,ROW()-1-$L$2-$M$2-$N$2+1,2),""),"")))))</f>
        <v/>
      </c>
      <c r="C703" s="3" t="str">
        <f>IF(ROW()-1&lt;=0,"",IF(ROW()-1&lt;=$L$2,IFERROR(INDEX(MCQ!$A:$K,ROW()-1+1,3),""),IF(ROW()-1&lt;=$L$2+$M$2,IFERROR(INDEX(CLOZE_AB!$A:$K,ROW()-1-$L$2+1,3),""),IF(ROW()-1&lt;=$L$2+$M$2+$N$2,IFERROR(INDEX(CLOZE_LIST!$A:$K,ROW()-1-$L$2-$M$2+1,3),""),IF(ROW()-1&lt;=$L$2+$M$2+$N$2+$O$2,IFERROR(INDEX(PROFORMA!$A:$K,ROW()-1-$L$2-$M$2-$N$2+1,3),""),"")))))</f>
        <v/>
      </c>
      <c r="D703" s="3" t="str">
        <f>IF(ROW()-1&lt;=0,"",IF(ROW()-1&lt;=$L$2,IFERROR(INDEX(MCQ!$A:$K,ROW()-1+1,4),""),IF(ROW()-1&lt;=$L$2+$M$2,IFERROR(INDEX(CLOZE_AB!$A:$K,ROW()-1-$L$2+1,4),""),IF(ROW()-1&lt;=$L$2+$M$2+$N$2,IFERROR(INDEX(CLOZE_LIST!$A:$K,ROW()-1-$L$2-$M$2+1,4),""),IF(ROW()-1&lt;=$L$2+$M$2+$N$2+$O$2,IFERROR(INDEX(PROFORMA!$A:$K,ROW()-1-$L$2-$M$2-$N$2+1,4),""),"")))))</f>
        <v/>
      </c>
      <c r="E703" s="3" t="str">
        <f>IF(ROW()-1&lt;=0,"",IF(ROW()-1&lt;=$L$2,IFERROR(INDEX(MCQ!$A:$K,ROW()-1+1,5),""),IF(ROW()-1&lt;=$L$2+$M$2,IFERROR(INDEX(CLOZE_AB!$A:$K,ROW()-1-$L$2+1,5),""),IF(ROW()-1&lt;=$L$2+$M$2+$N$2,IFERROR(INDEX(CLOZE_LIST!$A:$K,ROW()-1-$L$2-$M$2+1,5),""),IF(ROW()-1&lt;=$L$2+$M$2+$N$2+$O$2,IFERROR(INDEX(PROFORMA!$A:$K,ROW()-1-$L$2-$M$2-$N$2+1,5),""),"")))))</f>
        <v/>
      </c>
      <c r="F703" s="3" t="str">
        <f>IF(ROW()-1&lt;=0,"",IF(ROW()-1&lt;=$L$2,IFERROR(INDEX(MCQ!$A:$K,ROW()-1+1,6),""),IF(ROW()-1&lt;=$L$2+$M$2,IFERROR(INDEX(CLOZE_AB!$A:$K,ROW()-1-$L$2+1,6),""),IF(ROW()-1&lt;=$L$2+$M$2+$N$2,IFERROR(INDEX(CLOZE_LIST!$A:$K,ROW()-1-$L$2-$M$2+1,6),""),IF(ROW()-1&lt;=$L$2+$M$2+$N$2+$O$2,IFERROR(INDEX(PROFORMA!$A:$K,ROW()-1-$L$2-$M$2-$N$2+1,6),""),"")))))</f>
        <v/>
      </c>
      <c r="G703" s="3" t="str">
        <f>IF(ROW()-1&lt;=0,"",IF(ROW()-1&lt;=$L$2,IFERROR(INDEX(MCQ!$A:$K,ROW()-1+1,7),""),IF(ROW()-1&lt;=$L$2+$M$2,IFERROR(INDEX(CLOZE_AB!$A:$K,ROW()-1-$L$2+1,7),""),IF(ROW()-1&lt;=$L$2+$M$2+$N$2,IFERROR(INDEX(CLOZE_LIST!$A:$K,ROW()-1-$L$2-$M$2+1,7),""),IF(ROW()-1&lt;=$L$2+$M$2+$N$2+$O$2,IFERROR(INDEX(PROFORMA!$A:$K,ROW()-1-$L$2-$M$2-$N$2+1,7),""),"")))))</f>
        <v/>
      </c>
      <c r="H703" s="3" t="str">
        <f>IF(ROW()-1&lt;=0,"",IF(ROW()-1&lt;=$L$2,IFERROR(INDEX(MCQ!$A:$K,ROW()-1+1,8),""),IF(ROW()-1&lt;=$L$2+$M$2,IFERROR(INDEX(CLOZE_AB!$A:$K,ROW()-1-$L$2+1,8),""),IF(ROW()-1&lt;=$L$2+$M$2+$N$2,IFERROR(INDEX(CLOZE_LIST!$A:$K,ROW()-1-$L$2-$M$2+1,8),""),IF(ROW()-1&lt;=$L$2+$M$2+$N$2+$O$2,IFERROR(INDEX(PROFORMA!$A:$K,ROW()-1-$L$2-$M$2-$N$2+1,8),""),"")))))</f>
        <v/>
      </c>
      <c r="I703" s="3" t="str">
        <f>IF(ROW()-1&lt;=0,"",IF(ROW()-1&lt;=$L$2,IFERROR(INDEX(MCQ!$A:$K,ROW()-1+1,9),""),IF(ROW()-1&lt;=$L$2+$M$2,IFERROR(INDEX(CLOZE_AB!$A:$K,ROW()-1-$L$2+1,9),""),IF(ROW()-1&lt;=$L$2+$M$2+$N$2,IFERROR(INDEX(CLOZE_LIST!$A:$K,ROW()-1-$L$2-$M$2+1,9),""),IF(ROW()-1&lt;=$L$2+$M$2+$N$2+$O$2,IFERROR(INDEX(PROFORMA!$A:$K,ROW()-1-$L$2-$M$2-$N$2+1,9),""),"")))))</f>
        <v/>
      </c>
      <c r="J703" s="3" t="str">
        <f>IF(ROW()-1&lt;=0,"",IF(ROW()-1&lt;=$L$2,IFERROR(INDEX(MCQ!$A:$K,ROW()-1+1,10),""),IF(ROW()-1&lt;=$L$2+$M$2,IFERROR(INDEX(CLOZE_AB!$A:$K,ROW()-1-$L$2+1,10),""),IF(ROW()-1&lt;=$L$2+$M$2+$N$2,IFERROR(INDEX(CLOZE_LIST!$A:$K,ROW()-1-$L$2-$M$2+1,10),""),IF(ROW()-1&lt;=$L$2+$M$2+$N$2+$O$2,IFERROR(INDEX(PROFORMA!$A:$K,ROW()-1-$L$2-$M$2-$N$2+1,10),""),"")))))</f>
        <v/>
      </c>
      <c r="K703" s="3" t="str">
        <f>IF(ROW()-1&lt;=0,"",IF(ROW()-1&lt;=$L$2,IFERROR(INDEX(MCQ!$A:$K,ROW()-1+1,11),""),IF(ROW()-1&lt;=$L$2+$M$2,IFERROR(INDEX(CLOZE_AB!$A:$K,ROW()-1-$L$2+1,11),""),IF(ROW()-1&lt;=$L$2+$M$2+$N$2,IFERROR(INDEX(CLOZE_LIST!$A:$K,ROW()-1-$L$2-$M$2+1,11),""),IF(ROW()-1&lt;=$L$2+$M$2+$N$2+$O$2,IFERROR(INDEX(PROFORMA!$A:$K,ROW()-1-$L$2-$M$2-$N$2+1,11),""),"")))))</f>
        <v/>
      </c>
      <c r="L703" s="3">
        <f>COUNTA(MCQ!$A:$A)-1</f>
        <v>122</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t="str">
        <f>IF(ROW()-1&lt;=0,"",IF(ROW()-1&lt;=$L$2,IFERROR(INDEX(MCQ!$A:$K,ROW()-1+1,2),""),IF(ROW()-1&lt;=$L$2+$M$2,IFERROR(INDEX(CLOZE_AB!$A:$K,ROW()-1-$L$2+1,2),""),IF(ROW()-1&lt;=$L$2+$M$2+$N$2,IFERROR(INDEX(CLOZE_LIST!$A:$K,ROW()-1-$L$2-$M$2+1,2),""),IF(ROW()-1&lt;=$L$2+$M$2+$N$2+$O$2,IFERROR(INDEX(PROFORMA!$A:$K,ROW()-1-$L$2-$M$2-$N$2+1,2),""),"")))))</f>
        <v/>
      </c>
      <c r="C704" s="3" t="str">
        <f>IF(ROW()-1&lt;=0,"",IF(ROW()-1&lt;=$L$2,IFERROR(INDEX(MCQ!$A:$K,ROW()-1+1,3),""),IF(ROW()-1&lt;=$L$2+$M$2,IFERROR(INDEX(CLOZE_AB!$A:$K,ROW()-1-$L$2+1,3),""),IF(ROW()-1&lt;=$L$2+$M$2+$N$2,IFERROR(INDEX(CLOZE_LIST!$A:$K,ROW()-1-$L$2-$M$2+1,3),""),IF(ROW()-1&lt;=$L$2+$M$2+$N$2+$O$2,IFERROR(INDEX(PROFORMA!$A:$K,ROW()-1-$L$2-$M$2-$N$2+1,3),""),"")))))</f>
        <v/>
      </c>
      <c r="D704" s="3" t="str">
        <f>IF(ROW()-1&lt;=0,"",IF(ROW()-1&lt;=$L$2,IFERROR(INDEX(MCQ!$A:$K,ROW()-1+1,4),""),IF(ROW()-1&lt;=$L$2+$M$2,IFERROR(INDEX(CLOZE_AB!$A:$K,ROW()-1-$L$2+1,4),""),IF(ROW()-1&lt;=$L$2+$M$2+$N$2,IFERROR(INDEX(CLOZE_LIST!$A:$K,ROW()-1-$L$2-$M$2+1,4),""),IF(ROW()-1&lt;=$L$2+$M$2+$N$2+$O$2,IFERROR(INDEX(PROFORMA!$A:$K,ROW()-1-$L$2-$M$2-$N$2+1,4),""),"")))))</f>
        <v/>
      </c>
      <c r="E704" s="3" t="str">
        <f>IF(ROW()-1&lt;=0,"",IF(ROW()-1&lt;=$L$2,IFERROR(INDEX(MCQ!$A:$K,ROW()-1+1,5),""),IF(ROW()-1&lt;=$L$2+$M$2,IFERROR(INDEX(CLOZE_AB!$A:$K,ROW()-1-$L$2+1,5),""),IF(ROW()-1&lt;=$L$2+$M$2+$N$2,IFERROR(INDEX(CLOZE_LIST!$A:$K,ROW()-1-$L$2-$M$2+1,5),""),IF(ROW()-1&lt;=$L$2+$M$2+$N$2+$O$2,IFERROR(INDEX(PROFORMA!$A:$K,ROW()-1-$L$2-$M$2-$N$2+1,5),""),"")))))</f>
        <v/>
      </c>
      <c r="F704" s="3" t="str">
        <f>IF(ROW()-1&lt;=0,"",IF(ROW()-1&lt;=$L$2,IFERROR(INDEX(MCQ!$A:$K,ROW()-1+1,6),""),IF(ROW()-1&lt;=$L$2+$M$2,IFERROR(INDEX(CLOZE_AB!$A:$K,ROW()-1-$L$2+1,6),""),IF(ROW()-1&lt;=$L$2+$M$2+$N$2,IFERROR(INDEX(CLOZE_LIST!$A:$K,ROW()-1-$L$2-$M$2+1,6),""),IF(ROW()-1&lt;=$L$2+$M$2+$N$2+$O$2,IFERROR(INDEX(PROFORMA!$A:$K,ROW()-1-$L$2-$M$2-$N$2+1,6),""),"")))))</f>
        <v/>
      </c>
      <c r="G704" s="3" t="str">
        <f>IF(ROW()-1&lt;=0,"",IF(ROW()-1&lt;=$L$2,IFERROR(INDEX(MCQ!$A:$K,ROW()-1+1,7),""),IF(ROW()-1&lt;=$L$2+$M$2,IFERROR(INDEX(CLOZE_AB!$A:$K,ROW()-1-$L$2+1,7),""),IF(ROW()-1&lt;=$L$2+$M$2+$N$2,IFERROR(INDEX(CLOZE_LIST!$A:$K,ROW()-1-$L$2-$M$2+1,7),""),IF(ROW()-1&lt;=$L$2+$M$2+$N$2+$O$2,IFERROR(INDEX(PROFORMA!$A:$K,ROW()-1-$L$2-$M$2-$N$2+1,7),""),"")))))</f>
        <v/>
      </c>
      <c r="H704" s="3" t="str">
        <f>IF(ROW()-1&lt;=0,"",IF(ROW()-1&lt;=$L$2,IFERROR(INDEX(MCQ!$A:$K,ROW()-1+1,8),""),IF(ROW()-1&lt;=$L$2+$M$2,IFERROR(INDEX(CLOZE_AB!$A:$K,ROW()-1-$L$2+1,8),""),IF(ROW()-1&lt;=$L$2+$M$2+$N$2,IFERROR(INDEX(CLOZE_LIST!$A:$K,ROW()-1-$L$2-$M$2+1,8),""),IF(ROW()-1&lt;=$L$2+$M$2+$N$2+$O$2,IFERROR(INDEX(PROFORMA!$A:$K,ROW()-1-$L$2-$M$2-$N$2+1,8),""),"")))))</f>
        <v/>
      </c>
      <c r="I704" s="3" t="str">
        <f>IF(ROW()-1&lt;=0,"",IF(ROW()-1&lt;=$L$2,IFERROR(INDEX(MCQ!$A:$K,ROW()-1+1,9),""),IF(ROW()-1&lt;=$L$2+$M$2,IFERROR(INDEX(CLOZE_AB!$A:$K,ROW()-1-$L$2+1,9),""),IF(ROW()-1&lt;=$L$2+$M$2+$N$2,IFERROR(INDEX(CLOZE_LIST!$A:$K,ROW()-1-$L$2-$M$2+1,9),""),IF(ROW()-1&lt;=$L$2+$M$2+$N$2+$O$2,IFERROR(INDEX(PROFORMA!$A:$K,ROW()-1-$L$2-$M$2-$N$2+1,9),""),"")))))</f>
        <v/>
      </c>
      <c r="J704" s="3" t="str">
        <f>IF(ROW()-1&lt;=0,"",IF(ROW()-1&lt;=$L$2,IFERROR(INDEX(MCQ!$A:$K,ROW()-1+1,10),""),IF(ROW()-1&lt;=$L$2+$M$2,IFERROR(INDEX(CLOZE_AB!$A:$K,ROW()-1-$L$2+1,10),""),IF(ROW()-1&lt;=$L$2+$M$2+$N$2,IFERROR(INDEX(CLOZE_LIST!$A:$K,ROW()-1-$L$2-$M$2+1,10),""),IF(ROW()-1&lt;=$L$2+$M$2+$N$2+$O$2,IFERROR(INDEX(PROFORMA!$A:$K,ROW()-1-$L$2-$M$2-$N$2+1,10),""),"")))))</f>
        <v/>
      </c>
      <c r="K704" s="3" t="str">
        <f>IF(ROW()-1&lt;=0,"",IF(ROW()-1&lt;=$L$2,IFERROR(INDEX(MCQ!$A:$K,ROW()-1+1,11),""),IF(ROW()-1&lt;=$L$2+$M$2,IFERROR(INDEX(CLOZE_AB!$A:$K,ROW()-1-$L$2+1,11),""),IF(ROW()-1&lt;=$L$2+$M$2+$N$2,IFERROR(INDEX(CLOZE_LIST!$A:$K,ROW()-1-$L$2-$M$2+1,11),""),IF(ROW()-1&lt;=$L$2+$M$2+$N$2+$O$2,IFERROR(INDEX(PROFORMA!$A:$K,ROW()-1-$L$2-$M$2-$N$2+1,11),""),"")))))</f>
        <v/>
      </c>
      <c r="L704" s="3">
        <f>COUNTA(MCQ!$A:$A)-1</f>
        <v>122</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t="str">
        <f>IF(ROW()-1&lt;=0,"",IF(ROW()-1&lt;=$L$2,IFERROR(INDEX(MCQ!$A:$K,ROW()-1+1,2),""),IF(ROW()-1&lt;=$L$2+$M$2,IFERROR(INDEX(CLOZE_AB!$A:$K,ROW()-1-$L$2+1,2),""),IF(ROW()-1&lt;=$L$2+$M$2+$N$2,IFERROR(INDEX(CLOZE_LIST!$A:$K,ROW()-1-$L$2-$M$2+1,2),""),IF(ROW()-1&lt;=$L$2+$M$2+$N$2+$O$2,IFERROR(INDEX(PROFORMA!$A:$K,ROW()-1-$L$2-$M$2-$N$2+1,2),""),"")))))</f>
        <v/>
      </c>
      <c r="C705" s="3" t="str">
        <f>IF(ROW()-1&lt;=0,"",IF(ROW()-1&lt;=$L$2,IFERROR(INDEX(MCQ!$A:$K,ROW()-1+1,3),""),IF(ROW()-1&lt;=$L$2+$M$2,IFERROR(INDEX(CLOZE_AB!$A:$K,ROW()-1-$L$2+1,3),""),IF(ROW()-1&lt;=$L$2+$M$2+$N$2,IFERROR(INDEX(CLOZE_LIST!$A:$K,ROW()-1-$L$2-$M$2+1,3),""),IF(ROW()-1&lt;=$L$2+$M$2+$N$2+$O$2,IFERROR(INDEX(PROFORMA!$A:$K,ROW()-1-$L$2-$M$2-$N$2+1,3),""),"")))))</f>
        <v/>
      </c>
      <c r="D705" s="3" t="str">
        <f>IF(ROW()-1&lt;=0,"",IF(ROW()-1&lt;=$L$2,IFERROR(INDEX(MCQ!$A:$K,ROW()-1+1,4),""),IF(ROW()-1&lt;=$L$2+$M$2,IFERROR(INDEX(CLOZE_AB!$A:$K,ROW()-1-$L$2+1,4),""),IF(ROW()-1&lt;=$L$2+$M$2+$N$2,IFERROR(INDEX(CLOZE_LIST!$A:$K,ROW()-1-$L$2-$M$2+1,4),""),IF(ROW()-1&lt;=$L$2+$M$2+$N$2+$O$2,IFERROR(INDEX(PROFORMA!$A:$K,ROW()-1-$L$2-$M$2-$N$2+1,4),""),"")))))</f>
        <v/>
      </c>
      <c r="E705" s="3" t="str">
        <f>IF(ROW()-1&lt;=0,"",IF(ROW()-1&lt;=$L$2,IFERROR(INDEX(MCQ!$A:$K,ROW()-1+1,5),""),IF(ROW()-1&lt;=$L$2+$M$2,IFERROR(INDEX(CLOZE_AB!$A:$K,ROW()-1-$L$2+1,5),""),IF(ROW()-1&lt;=$L$2+$M$2+$N$2,IFERROR(INDEX(CLOZE_LIST!$A:$K,ROW()-1-$L$2-$M$2+1,5),""),IF(ROW()-1&lt;=$L$2+$M$2+$N$2+$O$2,IFERROR(INDEX(PROFORMA!$A:$K,ROW()-1-$L$2-$M$2-$N$2+1,5),""),"")))))</f>
        <v/>
      </c>
      <c r="F705" s="3" t="str">
        <f>IF(ROW()-1&lt;=0,"",IF(ROW()-1&lt;=$L$2,IFERROR(INDEX(MCQ!$A:$K,ROW()-1+1,6),""),IF(ROW()-1&lt;=$L$2+$M$2,IFERROR(INDEX(CLOZE_AB!$A:$K,ROW()-1-$L$2+1,6),""),IF(ROW()-1&lt;=$L$2+$M$2+$N$2,IFERROR(INDEX(CLOZE_LIST!$A:$K,ROW()-1-$L$2-$M$2+1,6),""),IF(ROW()-1&lt;=$L$2+$M$2+$N$2+$O$2,IFERROR(INDEX(PROFORMA!$A:$K,ROW()-1-$L$2-$M$2-$N$2+1,6),""),"")))))</f>
        <v/>
      </c>
      <c r="G705" s="3" t="str">
        <f>IF(ROW()-1&lt;=0,"",IF(ROW()-1&lt;=$L$2,IFERROR(INDEX(MCQ!$A:$K,ROW()-1+1,7),""),IF(ROW()-1&lt;=$L$2+$M$2,IFERROR(INDEX(CLOZE_AB!$A:$K,ROW()-1-$L$2+1,7),""),IF(ROW()-1&lt;=$L$2+$M$2+$N$2,IFERROR(INDEX(CLOZE_LIST!$A:$K,ROW()-1-$L$2-$M$2+1,7),""),IF(ROW()-1&lt;=$L$2+$M$2+$N$2+$O$2,IFERROR(INDEX(PROFORMA!$A:$K,ROW()-1-$L$2-$M$2-$N$2+1,7),""),"")))))</f>
        <v/>
      </c>
      <c r="H705" s="3" t="str">
        <f>IF(ROW()-1&lt;=0,"",IF(ROW()-1&lt;=$L$2,IFERROR(INDEX(MCQ!$A:$K,ROW()-1+1,8),""),IF(ROW()-1&lt;=$L$2+$M$2,IFERROR(INDEX(CLOZE_AB!$A:$K,ROW()-1-$L$2+1,8),""),IF(ROW()-1&lt;=$L$2+$M$2+$N$2,IFERROR(INDEX(CLOZE_LIST!$A:$K,ROW()-1-$L$2-$M$2+1,8),""),IF(ROW()-1&lt;=$L$2+$M$2+$N$2+$O$2,IFERROR(INDEX(PROFORMA!$A:$K,ROW()-1-$L$2-$M$2-$N$2+1,8),""),"")))))</f>
        <v/>
      </c>
      <c r="I705" s="3" t="str">
        <f>IF(ROW()-1&lt;=0,"",IF(ROW()-1&lt;=$L$2,IFERROR(INDEX(MCQ!$A:$K,ROW()-1+1,9),""),IF(ROW()-1&lt;=$L$2+$M$2,IFERROR(INDEX(CLOZE_AB!$A:$K,ROW()-1-$L$2+1,9),""),IF(ROW()-1&lt;=$L$2+$M$2+$N$2,IFERROR(INDEX(CLOZE_LIST!$A:$K,ROW()-1-$L$2-$M$2+1,9),""),IF(ROW()-1&lt;=$L$2+$M$2+$N$2+$O$2,IFERROR(INDEX(PROFORMA!$A:$K,ROW()-1-$L$2-$M$2-$N$2+1,9),""),"")))))</f>
        <v/>
      </c>
      <c r="J705" s="3" t="str">
        <f>IF(ROW()-1&lt;=0,"",IF(ROW()-1&lt;=$L$2,IFERROR(INDEX(MCQ!$A:$K,ROW()-1+1,10),""),IF(ROW()-1&lt;=$L$2+$M$2,IFERROR(INDEX(CLOZE_AB!$A:$K,ROW()-1-$L$2+1,10),""),IF(ROW()-1&lt;=$L$2+$M$2+$N$2,IFERROR(INDEX(CLOZE_LIST!$A:$K,ROW()-1-$L$2-$M$2+1,10),""),IF(ROW()-1&lt;=$L$2+$M$2+$N$2+$O$2,IFERROR(INDEX(PROFORMA!$A:$K,ROW()-1-$L$2-$M$2-$N$2+1,10),""),"")))))</f>
        <v/>
      </c>
      <c r="K705" s="3" t="str">
        <f>IF(ROW()-1&lt;=0,"",IF(ROW()-1&lt;=$L$2,IFERROR(INDEX(MCQ!$A:$K,ROW()-1+1,11),""),IF(ROW()-1&lt;=$L$2+$M$2,IFERROR(INDEX(CLOZE_AB!$A:$K,ROW()-1-$L$2+1,11),""),IF(ROW()-1&lt;=$L$2+$M$2+$N$2,IFERROR(INDEX(CLOZE_LIST!$A:$K,ROW()-1-$L$2-$M$2+1,11),""),IF(ROW()-1&lt;=$L$2+$M$2+$N$2+$O$2,IFERROR(INDEX(PROFORMA!$A:$K,ROW()-1-$L$2-$M$2-$N$2+1,11),""),"")))))</f>
        <v/>
      </c>
      <c r="L705" s="3">
        <f>COUNTA(MCQ!$A:$A)-1</f>
        <v>122</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t="str">
        <f>IF(ROW()-1&lt;=0,"",IF(ROW()-1&lt;=$L$2,IFERROR(INDEX(MCQ!$A:$K,ROW()-1+1,2),""),IF(ROW()-1&lt;=$L$2+$M$2,IFERROR(INDEX(CLOZE_AB!$A:$K,ROW()-1-$L$2+1,2),""),IF(ROW()-1&lt;=$L$2+$M$2+$N$2,IFERROR(INDEX(CLOZE_LIST!$A:$K,ROW()-1-$L$2-$M$2+1,2),""),IF(ROW()-1&lt;=$L$2+$M$2+$N$2+$O$2,IFERROR(INDEX(PROFORMA!$A:$K,ROW()-1-$L$2-$M$2-$N$2+1,2),""),"")))))</f>
        <v/>
      </c>
      <c r="C706" s="3" t="str">
        <f>IF(ROW()-1&lt;=0,"",IF(ROW()-1&lt;=$L$2,IFERROR(INDEX(MCQ!$A:$K,ROW()-1+1,3),""),IF(ROW()-1&lt;=$L$2+$M$2,IFERROR(INDEX(CLOZE_AB!$A:$K,ROW()-1-$L$2+1,3),""),IF(ROW()-1&lt;=$L$2+$M$2+$N$2,IFERROR(INDEX(CLOZE_LIST!$A:$K,ROW()-1-$L$2-$M$2+1,3),""),IF(ROW()-1&lt;=$L$2+$M$2+$N$2+$O$2,IFERROR(INDEX(PROFORMA!$A:$K,ROW()-1-$L$2-$M$2-$N$2+1,3),""),"")))))</f>
        <v/>
      </c>
      <c r="D706" s="3" t="str">
        <f>IF(ROW()-1&lt;=0,"",IF(ROW()-1&lt;=$L$2,IFERROR(INDEX(MCQ!$A:$K,ROW()-1+1,4),""),IF(ROW()-1&lt;=$L$2+$M$2,IFERROR(INDEX(CLOZE_AB!$A:$K,ROW()-1-$L$2+1,4),""),IF(ROW()-1&lt;=$L$2+$M$2+$N$2,IFERROR(INDEX(CLOZE_LIST!$A:$K,ROW()-1-$L$2-$M$2+1,4),""),IF(ROW()-1&lt;=$L$2+$M$2+$N$2+$O$2,IFERROR(INDEX(PROFORMA!$A:$K,ROW()-1-$L$2-$M$2-$N$2+1,4),""),"")))))</f>
        <v/>
      </c>
      <c r="E706" s="3" t="str">
        <f>IF(ROW()-1&lt;=0,"",IF(ROW()-1&lt;=$L$2,IFERROR(INDEX(MCQ!$A:$K,ROW()-1+1,5),""),IF(ROW()-1&lt;=$L$2+$M$2,IFERROR(INDEX(CLOZE_AB!$A:$K,ROW()-1-$L$2+1,5),""),IF(ROW()-1&lt;=$L$2+$M$2+$N$2,IFERROR(INDEX(CLOZE_LIST!$A:$K,ROW()-1-$L$2-$M$2+1,5),""),IF(ROW()-1&lt;=$L$2+$M$2+$N$2+$O$2,IFERROR(INDEX(PROFORMA!$A:$K,ROW()-1-$L$2-$M$2-$N$2+1,5),""),"")))))</f>
        <v/>
      </c>
      <c r="F706" s="3" t="str">
        <f>IF(ROW()-1&lt;=0,"",IF(ROW()-1&lt;=$L$2,IFERROR(INDEX(MCQ!$A:$K,ROW()-1+1,6),""),IF(ROW()-1&lt;=$L$2+$M$2,IFERROR(INDEX(CLOZE_AB!$A:$K,ROW()-1-$L$2+1,6),""),IF(ROW()-1&lt;=$L$2+$M$2+$N$2,IFERROR(INDEX(CLOZE_LIST!$A:$K,ROW()-1-$L$2-$M$2+1,6),""),IF(ROW()-1&lt;=$L$2+$M$2+$N$2+$O$2,IFERROR(INDEX(PROFORMA!$A:$K,ROW()-1-$L$2-$M$2-$N$2+1,6),""),"")))))</f>
        <v/>
      </c>
      <c r="G706" s="3" t="str">
        <f>IF(ROW()-1&lt;=0,"",IF(ROW()-1&lt;=$L$2,IFERROR(INDEX(MCQ!$A:$K,ROW()-1+1,7),""),IF(ROW()-1&lt;=$L$2+$M$2,IFERROR(INDEX(CLOZE_AB!$A:$K,ROW()-1-$L$2+1,7),""),IF(ROW()-1&lt;=$L$2+$M$2+$N$2,IFERROR(INDEX(CLOZE_LIST!$A:$K,ROW()-1-$L$2-$M$2+1,7),""),IF(ROW()-1&lt;=$L$2+$M$2+$N$2+$O$2,IFERROR(INDEX(PROFORMA!$A:$K,ROW()-1-$L$2-$M$2-$N$2+1,7),""),"")))))</f>
        <v/>
      </c>
      <c r="H706" s="3" t="str">
        <f>IF(ROW()-1&lt;=0,"",IF(ROW()-1&lt;=$L$2,IFERROR(INDEX(MCQ!$A:$K,ROW()-1+1,8),""),IF(ROW()-1&lt;=$L$2+$M$2,IFERROR(INDEX(CLOZE_AB!$A:$K,ROW()-1-$L$2+1,8),""),IF(ROW()-1&lt;=$L$2+$M$2+$N$2,IFERROR(INDEX(CLOZE_LIST!$A:$K,ROW()-1-$L$2-$M$2+1,8),""),IF(ROW()-1&lt;=$L$2+$M$2+$N$2+$O$2,IFERROR(INDEX(PROFORMA!$A:$K,ROW()-1-$L$2-$M$2-$N$2+1,8),""),"")))))</f>
        <v/>
      </c>
      <c r="I706" s="3" t="str">
        <f>IF(ROW()-1&lt;=0,"",IF(ROW()-1&lt;=$L$2,IFERROR(INDEX(MCQ!$A:$K,ROW()-1+1,9),""),IF(ROW()-1&lt;=$L$2+$M$2,IFERROR(INDEX(CLOZE_AB!$A:$K,ROW()-1-$L$2+1,9),""),IF(ROW()-1&lt;=$L$2+$M$2+$N$2,IFERROR(INDEX(CLOZE_LIST!$A:$K,ROW()-1-$L$2-$M$2+1,9),""),IF(ROW()-1&lt;=$L$2+$M$2+$N$2+$O$2,IFERROR(INDEX(PROFORMA!$A:$K,ROW()-1-$L$2-$M$2-$N$2+1,9),""),"")))))</f>
        <v/>
      </c>
      <c r="J706" s="3" t="str">
        <f>IF(ROW()-1&lt;=0,"",IF(ROW()-1&lt;=$L$2,IFERROR(INDEX(MCQ!$A:$K,ROW()-1+1,10),""),IF(ROW()-1&lt;=$L$2+$M$2,IFERROR(INDEX(CLOZE_AB!$A:$K,ROW()-1-$L$2+1,10),""),IF(ROW()-1&lt;=$L$2+$M$2+$N$2,IFERROR(INDEX(CLOZE_LIST!$A:$K,ROW()-1-$L$2-$M$2+1,10),""),IF(ROW()-1&lt;=$L$2+$M$2+$N$2+$O$2,IFERROR(INDEX(PROFORMA!$A:$K,ROW()-1-$L$2-$M$2-$N$2+1,10),""),"")))))</f>
        <v/>
      </c>
      <c r="K706" s="3" t="str">
        <f>IF(ROW()-1&lt;=0,"",IF(ROW()-1&lt;=$L$2,IFERROR(INDEX(MCQ!$A:$K,ROW()-1+1,11),""),IF(ROW()-1&lt;=$L$2+$M$2,IFERROR(INDEX(CLOZE_AB!$A:$K,ROW()-1-$L$2+1,11),""),IF(ROW()-1&lt;=$L$2+$M$2+$N$2,IFERROR(INDEX(CLOZE_LIST!$A:$K,ROW()-1-$L$2-$M$2+1,11),""),IF(ROW()-1&lt;=$L$2+$M$2+$N$2+$O$2,IFERROR(INDEX(PROFORMA!$A:$K,ROW()-1-$L$2-$M$2-$N$2+1,11),""),"")))))</f>
        <v/>
      </c>
      <c r="L706" s="3">
        <f>COUNTA(MCQ!$A:$A)-1</f>
        <v>122</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t="str">
        <f>IF(ROW()-1&lt;=0,"",IF(ROW()-1&lt;=$L$2,IFERROR(INDEX(MCQ!$A:$K,ROW()-1+1,2),""),IF(ROW()-1&lt;=$L$2+$M$2,IFERROR(INDEX(CLOZE_AB!$A:$K,ROW()-1-$L$2+1,2),""),IF(ROW()-1&lt;=$L$2+$M$2+$N$2,IFERROR(INDEX(CLOZE_LIST!$A:$K,ROW()-1-$L$2-$M$2+1,2),""),IF(ROW()-1&lt;=$L$2+$M$2+$N$2+$O$2,IFERROR(INDEX(PROFORMA!$A:$K,ROW()-1-$L$2-$M$2-$N$2+1,2),""),"")))))</f>
        <v/>
      </c>
      <c r="C707" s="3" t="str">
        <f>IF(ROW()-1&lt;=0,"",IF(ROW()-1&lt;=$L$2,IFERROR(INDEX(MCQ!$A:$K,ROW()-1+1,3),""),IF(ROW()-1&lt;=$L$2+$M$2,IFERROR(INDEX(CLOZE_AB!$A:$K,ROW()-1-$L$2+1,3),""),IF(ROW()-1&lt;=$L$2+$M$2+$N$2,IFERROR(INDEX(CLOZE_LIST!$A:$K,ROW()-1-$L$2-$M$2+1,3),""),IF(ROW()-1&lt;=$L$2+$M$2+$N$2+$O$2,IFERROR(INDEX(PROFORMA!$A:$K,ROW()-1-$L$2-$M$2-$N$2+1,3),""),"")))))</f>
        <v/>
      </c>
      <c r="D707" s="3" t="str">
        <f>IF(ROW()-1&lt;=0,"",IF(ROW()-1&lt;=$L$2,IFERROR(INDEX(MCQ!$A:$K,ROW()-1+1,4),""),IF(ROW()-1&lt;=$L$2+$M$2,IFERROR(INDEX(CLOZE_AB!$A:$K,ROW()-1-$L$2+1,4),""),IF(ROW()-1&lt;=$L$2+$M$2+$N$2,IFERROR(INDEX(CLOZE_LIST!$A:$K,ROW()-1-$L$2-$M$2+1,4),""),IF(ROW()-1&lt;=$L$2+$M$2+$N$2+$O$2,IFERROR(INDEX(PROFORMA!$A:$K,ROW()-1-$L$2-$M$2-$N$2+1,4),""),"")))))</f>
        <v/>
      </c>
      <c r="E707" s="3" t="str">
        <f>IF(ROW()-1&lt;=0,"",IF(ROW()-1&lt;=$L$2,IFERROR(INDEX(MCQ!$A:$K,ROW()-1+1,5),""),IF(ROW()-1&lt;=$L$2+$M$2,IFERROR(INDEX(CLOZE_AB!$A:$K,ROW()-1-$L$2+1,5),""),IF(ROW()-1&lt;=$L$2+$M$2+$N$2,IFERROR(INDEX(CLOZE_LIST!$A:$K,ROW()-1-$L$2-$M$2+1,5),""),IF(ROW()-1&lt;=$L$2+$M$2+$N$2+$O$2,IFERROR(INDEX(PROFORMA!$A:$K,ROW()-1-$L$2-$M$2-$N$2+1,5),""),"")))))</f>
        <v/>
      </c>
      <c r="F707" s="3" t="str">
        <f>IF(ROW()-1&lt;=0,"",IF(ROW()-1&lt;=$L$2,IFERROR(INDEX(MCQ!$A:$K,ROW()-1+1,6),""),IF(ROW()-1&lt;=$L$2+$M$2,IFERROR(INDEX(CLOZE_AB!$A:$K,ROW()-1-$L$2+1,6),""),IF(ROW()-1&lt;=$L$2+$M$2+$N$2,IFERROR(INDEX(CLOZE_LIST!$A:$K,ROW()-1-$L$2-$M$2+1,6),""),IF(ROW()-1&lt;=$L$2+$M$2+$N$2+$O$2,IFERROR(INDEX(PROFORMA!$A:$K,ROW()-1-$L$2-$M$2-$N$2+1,6),""),"")))))</f>
        <v/>
      </c>
      <c r="G707" s="3" t="str">
        <f>IF(ROW()-1&lt;=0,"",IF(ROW()-1&lt;=$L$2,IFERROR(INDEX(MCQ!$A:$K,ROW()-1+1,7),""),IF(ROW()-1&lt;=$L$2+$M$2,IFERROR(INDEX(CLOZE_AB!$A:$K,ROW()-1-$L$2+1,7),""),IF(ROW()-1&lt;=$L$2+$M$2+$N$2,IFERROR(INDEX(CLOZE_LIST!$A:$K,ROW()-1-$L$2-$M$2+1,7),""),IF(ROW()-1&lt;=$L$2+$M$2+$N$2+$O$2,IFERROR(INDEX(PROFORMA!$A:$K,ROW()-1-$L$2-$M$2-$N$2+1,7),""),"")))))</f>
        <v/>
      </c>
      <c r="H707" s="3" t="str">
        <f>IF(ROW()-1&lt;=0,"",IF(ROW()-1&lt;=$L$2,IFERROR(INDEX(MCQ!$A:$K,ROW()-1+1,8),""),IF(ROW()-1&lt;=$L$2+$M$2,IFERROR(INDEX(CLOZE_AB!$A:$K,ROW()-1-$L$2+1,8),""),IF(ROW()-1&lt;=$L$2+$M$2+$N$2,IFERROR(INDEX(CLOZE_LIST!$A:$K,ROW()-1-$L$2-$M$2+1,8),""),IF(ROW()-1&lt;=$L$2+$M$2+$N$2+$O$2,IFERROR(INDEX(PROFORMA!$A:$K,ROW()-1-$L$2-$M$2-$N$2+1,8),""),"")))))</f>
        <v/>
      </c>
      <c r="I707" s="3" t="str">
        <f>IF(ROW()-1&lt;=0,"",IF(ROW()-1&lt;=$L$2,IFERROR(INDEX(MCQ!$A:$K,ROW()-1+1,9),""),IF(ROW()-1&lt;=$L$2+$M$2,IFERROR(INDEX(CLOZE_AB!$A:$K,ROW()-1-$L$2+1,9),""),IF(ROW()-1&lt;=$L$2+$M$2+$N$2,IFERROR(INDEX(CLOZE_LIST!$A:$K,ROW()-1-$L$2-$M$2+1,9),""),IF(ROW()-1&lt;=$L$2+$M$2+$N$2+$O$2,IFERROR(INDEX(PROFORMA!$A:$K,ROW()-1-$L$2-$M$2-$N$2+1,9),""),"")))))</f>
        <v/>
      </c>
      <c r="J707" s="3" t="str">
        <f>IF(ROW()-1&lt;=0,"",IF(ROW()-1&lt;=$L$2,IFERROR(INDEX(MCQ!$A:$K,ROW()-1+1,10),""),IF(ROW()-1&lt;=$L$2+$M$2,IFERROR(INDEX(CLOZE_AB!$A:$K,ROW()-1-$L$2+1,10),""),IF(ROW()-1&lt;=$L$2+$M$2+$N$2,IFERROR(INDEX(CLOZE_LIST!$A:$K,ROW()-1-$L$2-$M$2+1,10),""),IF(ROW()-1&lt;=$L$2+$M$2+$N$2+$O$2,IFERROR(INDEX(PROFORMA!$A:$K,ROW()-1-$L$2-$M$2-$N$2+1,10),""),"")))))</f>
        <v/>
      </c>
      <c r="K707" s="3" t="str">
        <f>IF(ROW()-1&lt;=0,"",IF(ROW()-1&lt;=$L$2,IFERROR(INDEX(MCQ!$A:$K,ROW()-1+1,11),""),IF(ROW()-1&lt;=$L$2+$M$2,IFERROR(INDEX(CLOZE_AB!$A:$K,ROW()-1-$L$2+1,11),""),IF(ROW()-1&lt;=$L$2+$M$2+$N$2,IFERROR(INDEX(CLOZE_LIST!$A:$K,ROW()-1-$L$2-$M$2+1,11),""),IF(ROW()-1&lt;=$L$2+$M$2+$N$2+$O$2,IFERROR(INDEX(PROFORMA!$A:$K,ROW()-1-$L$2-$M$2-$N$2+1,11),""),"")))))</f>
        <v/>
      </c>
      <c r="L707" s="3">
        <f>COUNTA(MCQ!$A:$A)-1</f>
        <v>122</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t="str">
        <f>IF(ROW()-1&lt;=0,"",IF(ROW()-1&lt;=$L$2,IFERROR(INDEX(MCQ!$A:$K,ROW()-1+1,2),""),IF(ROW()-1&lt;=$L$2+$M$2,IFERROR(INDEX(CLOZE_AB!$A:$K,ROW()-1-$L$2+1,2),""),IF(ROW()-1&lt;=$L$2+$M$2+$N$2,IFERROR(INDEX(CLOZE_LIST!$A:$K,ROW()-1-$L$2-$M$2+1,2),""),IF(ROW()-1&lt;=$L$2+$M$2+$N$2+$O$2,IFERROR(INDEX(PROFORMA!$A:$K,ROW()-1-$L$2-$M$2-$N$2+1,2),""),"")))))</f>
        <v/>
      </c>
      <c r="C708" s="3" t="str">
        <f>IF(ROW()-1&lt;=0,"",IF(ROW()-1&lt;=$L$2,IFERROR(INDEX(MCQ!$A:$K,ROW()-1+1,3),""),IF(ROW()-1&lt;=$L$2+$M$2,IFERROR(INDEX(CLOZE_AB!$A:$K,ROW()-1-$L$2+1,3),""),IF(ROW()-1&lt;=$L$2+$M$2+$N$2,IFERROR(INDEX(CLOZE_LIST!$A:$K,ROW()-1-$L$2-$M$2+1,3),""),IF(ROW()-1&lt;=$L$2+$M$2+$N$2+$O$2,IFERROR(INDEX(PROFORMA!$A:$K,ROW()-1-$L$2-$M$2-$N$2+1,3),""),"")))))</f>
        <v/>
      </c>
      <c r="D708" s="3" t="str">
        <f>IF(ROW()-1&lt;=0,"",IF(ROW()-1&lt;=$L$2,IFERROR(INDEX(MCQ!$A:$K,ROW()-1+1,4),""),IF(ROW()-1&lt;=$L$2+$M$2,IFERROR(INDEX(CLOZE_AB!$A:$K,ROW()-1-$L$2+1,4),""),IF(ROW()-1&lt;=$L$2+$M$2+$N$2,IFERROR(INDEX(CLOZE_LIST!$A:$K,ROW()-1-$L$2-$M$2+1,4),""),IF(ROW()-1&lt;=$L$2+$M$2+$N$2+$O$2,IFERROR(INDEX(PROFORMA!$A:$K,ROW()-1-$L$2-$M$2-$N$2+1,4),""),"")))))</f>
        <v/>
      </c>
      <c r="E708" s="3" t="str">
        <f>IF(ROW()-1&lt;=0,"",IF(ROW()-1&lt;=$L$2,IFERROR(INDEX(MCQ!$A:$K,ROW()-1+1,5),""),IF(ROW()-1&lt;=$L$2+$M$2,IFERROR(INDEX(CLOZE_AB!$A:$K,ROW()-1-$L$2+1,5),""),IF(ROW()-1&lt;=$L$2+$M$2+$N$2,IFERROR(INDEX(CLOZE_LIST!$A:$K,ROW()-1-$L$2-$M$2+1,5),""),IF(ROW()-1&lt;=$L$2+$M$2+$N$2+$O$2,IFERROR(INDEX(PROFORMA!$A:$K,ROW()-1-$L$2-$M$2-$N$2+1,5),""),"")))))</f>
        <v/>
      </c>
      <c r="F708" s="3" t="str">
        <f>IF(ROW()-1&lt;=0,"",IF(ROW()-1&lt;=$L$2,IFERROR(INDEX(MCQ!$A:$K,ROW()-1+1,6),""),IF(ROW()-1&lt;=$L$2+$M$2,IFERROR(INDEX(CLOZE_AB!$A:$K,ROW()-1-$L$2+1,6),""),IF(ROW()-1&lt;=$L$2+$M$2+$N$2,IFERROR(INDEX(CLOZE_LIST!$A:$K,ROW()-1-$L$2-$M$2+1,6),""),IF(ROW()-1&lt;=$L$2+$M$2+$N$2+$O$2,IFERROR(INDEX(PROFORMA!$A:$K,ROW()-1-$L$2-$M$2-$N$2+1,6),""),"")))))</f>
        <v/>
      </c>
      <c r="G708" s="3" t="str">
        <f>IF(ROW()-1&lt;=0,"",IF(ROW()-1&lt;=$L$2,IFERROR(INDEX(MCQ!$A:$K,ROW()-1+1,7),""),IF(ROW()-1&lt;=$L$2+$M$2,IFERROR(INDEX(CLOZE_AB!$A:$K,ROW()-1-$L$2+1,7),""),IF(ROW()-1&lt;=$L$2+$M$2+$N$2,IFERROR(INDEX(CLOZE_LIST!$A:$K,ROW()-1-$L$2-$M$2+1,7),""),IF(ROW()-1&lt;=$L$2+$M$2+$N$2+$O$2,IFERROR(INDEX(PROFORMA!$A:$K,ROW()-1-$L$2-$M$2-$N$2+1,7),""),"")))))</f>
        <v/>
      </c>
      <c r="H708" s="3" t="str">
        <f>IF(ROW()-1&lt;=0,"",IF(ROW()-1&lt;=$L$2,IFERROR(INDEX(MCQ!$A:$K,ROW()-1+1,8),""),IF(ROW()-1&lt;=$L$2+$M$2,IFERROR(INDEX(CLOZE_AB!$A:$K,ROW()-1-$L$2+1,8),""),IF(ROW()-1&lt;=$L$2+$M$2+$N$2,IFERROR(INDEX(CLOZE_LIST!$A:$K,ROW()-1-$L$2-$M$2+1,8),""),IF(ROW()-1&lt;=$L$2+$M$2+$N$2+$O$2,IFERROR(INDEX(PROFORMA!$A:$K,ROW()-1-$L$2-$M$2-$N$2+1,8),""),"")))))</f>
        <v/>
      </c>
      <c r="I708" s="3" t="str">
        <f>IF(ROW()-1&lt;=0,"",IF(ROW()-1&lt;=$L$2,IFERROR(INDEX(MCQ!$A:$K,ROW()-1+1,9),""),IF(ROW()-1&lt;=$L$2+$M$2,IFERROR(INDEX(CLOZE_AB!$A:$K,ROW()-1-$L$2+1,9),""),IF(ROW()-1&lt;=$L$2+$M$2+$N$2,IFERROR(INDEX(CLOZE_LIST!$A:$K,ROW()-1-$L$2-$M$2+1,9),""),IF(ROW()-1&lt;=$L$2+$M$2+$N$2+$O$2,IFERROR(INDEX(PROFORMA!$A:$K,ROW()-1-$L$2-$M$2-$N$2+1,9),""),"")))))</f>
        <v/>
      </c>
      <c r="J708" s="3" t="str">
        <f>IF(ROW()-1&lt;=0,"",IF(ROW()-1&lt;=$L$2,IFERROR(INDEX(MCQ!$A:$K,ROW()-1+1,10),""),IF(ROW()-1&lt;=$L$2+$M$2,IFERROR(INDEX(CLOZE_AB!$A:$K,ROW()-1-$L$2+1,10),""),IF(ROW()-1&lt;=$L$2+$M$2+$N$2,IFERROR(INDEX(CLOZE_LIST!$A:$K,ROW()-1-$L$2-$M$2+1,10),""),IF(ROW()-1&lt;=$L$2+$M$2+$N$2+$O$2,IFERROR(INDEX(PROFORMA!$A:$K,ROW()-1-$L$2-$M$2-$N$2+1,10),""),"")))))</f>
        <v/>
      </c>
      <c r="K708" s="3" t="str">
        <f>IF(ROW()-1&lt;=0,"",IF(ROW()-1&lt;=$L$2,IFERROR(INDEX(MCQ!$A:$K,ROW()-1+1,11),""),IF(ROW()-1&lt;=$L$2+$M$2,IFERROR(INDEX(CLOZE_AB!$A:$K,ROW()-1-$L$2+1,11),""),IF(ROW()-1&lt;=$L$2+$M$2+$N$2,IFERROR(INDEX(CLOZE_LIST!$A:$K,ROW()-1-$L$2-$M$2+1,11),""),IF(ROW()-1&lt;=$L$2+$M$2+$N$2+$O$2,IFERROR(INDEX(PROFORMA!$A:$K,ROW()-1-$L$2-$M$2-$N$2+1,11),""),"")))))</f>
        <v/>
      </c>
      <c r="L708" s="3">
        <f>COUNTA(MCQ!$A:$A)-1</f>
        <v>122</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t="str">
        <f>IF(ROW()-1&lt;=0,"",IF(ROW()-1&lt;=$L$2,IFERROR(INDEX(MCQ!$A:$K,ROW()-1+1,2),""),IF(ROW()-1&lt;=$L$2+$M$2,IFERROR(INDEX(CLOZE_AB!$A:$K,ROW()-1-$L$2+1,2),""),IF(ROW()-1&lt;=$L$2+$M$2+$N$2,IFERROR(INDEX(CLOZE_LIST!$A:$K,ROW()-1-$L$2-$M$2+1,2),""),IF(ROW()-1&lt;=$L$2+$M$2+$N$2+$O$2,IFERROR(INDEX(PROFORMA!$A:$K,ROW()-1-$L$2-$M$2-$N$2+1,2),""),"")))))</f>
        <v/>
      </c>
      <c r="C709" s="3" t="str">
        <f>IF(ROW()-1&lt;=0,"",IF(ROW()-1&lt;=$L$2,IFERROR(INDEX(MCQ!$A:$K,ROW()-1+1,3),""),IF(ROW()-1&lt;=$L$2+$M$2,IFERROR(INDEX(CLOZE_AB!$A:$K,ROW()-1-$L$2+1,3),""),IF(ROW()-1&lt;=$L$2+$M$2+$N$2,IFERROR(INDEX(CLOZE_LIST!$A:$K,ROW()-1-$L$2-$M$2+1,3),""),IF(ROW()-1&lt;=$L$2+$M$2+$N$2+$O$2,IFERROR(INDEX(PROFORMA!$A:$K,ROW()-1-$L$2-$M$2-$N$2+1,3),""),"")))))</f>
        <v/>
      </c>
      <c r="D709" s="3" t="str">
        <f>IF(ROW()-1&lt;=0,"",IF(ROW()-1&lt;=$L$2,IFERROR(INDEX(MCQ!$A:$K,ROW()-1+1,4),""),IF(ROW()-1&lt;=$L$2+$M$2,IFERROR(INDEX(CLOZE_AB!$A:$K,ROW()-1-$L$2+1,4),""),IF(ROW()-1&lt;=$L$2+$M$2+$N$2,IFERROR(INDEX(CLOZE_LIST!$A:$K,ROW()-1-$L$2-$M$2+1,4),""),IF(ROW()-1&lt;=$L$2+$M$2+$N$2+$O$2,IFERROR(INDEX(PROFORMA!$A:$K,ROW()-1-$L$2-$M$2-$N$2+1,4),""),"")))))</f>
        <v/>
      </c>
      <c r="E709" s="3" t="str">
        <f>IF(ROW()-1&lt;=0,"",IF(ROW()-1&lt;=$L$2,IFERROR(INDEX(MCQ!$A:$K,ROW()-1+1,5),""),IF(ROW()-1&lt;=$L$2+$M$2,IFERROR(INDEX(CLOZE_AB!$A:$K,ROW()-1-$L$2+1,5),""),IF(ROW()-1&lt;=$L$2+$M$2+$N$2,IFERROR(INDEX(CLOZE_LIST!$A:$K,ROW()-1-$L$2-$M$2+1,5),""),IF(ROW()-1&lt;=$L$2+$M$2+$N$2+$O$2,IFERROR(INDEX(PROFORMA!$A:$K,ROW()-1-$L$2-$M$2-$N$2+1,5),""),"")))))</f>
        <v/>
      </c>
      <c r="F709" s="3" t="str">
        <f>IF(ROW()-1&lt;=0,"",IF(ROW()-1&lt;=$L$2,IFERROR(INDEX(MCQ!$A:$K,ROW()-1+1,6),""),IF(ROW()-1&lt;=$L$2+$M$2,IFERROR(INDEX(CLOZE_AB!$A:$K,ROW()-1-$L$2+1,6),""),IF(ROW()-1&lt;=$L$2+$M$2+$N$2,IFERROR(INDEX(CLOZE_LIST!$A:$K,ROW()-1-$L$2-$M$2+1,6),""),IF(ROW()-1&lt;=$L$2+$M$2+$N$2+$O$2,IFERROR(INDEX(PROFORMA!$A:$K,ROW()-1-$L$2-$M$2-$N$2+1,6),""),"")))))</f>
        <v/>
      </c>
      <c r="G709" s="3" t="str">
        <f>IF(ROW()-1&lt;=0,"",IF(ROW()-1&lt;=$L$2,IFERROR(INDEX(MCQ!$A:$K,ROW()-1+1,7),""),IF(ROW()-1&lt;=$L$2+$M$2,IFERROR(INDEX(CLOZE_AB!$A:$K,ROW()-1-$L$2+1,7),""),IF(ROW()-1&lt;=$L$2+$M$2+$N$2,IFERROR(INDEX(CLOZE_LIST!$A:$K,ROW()-1-$L$2-$M$2+1,7),""),IF(ROW()-1&lt;=$L$2+$M$2+$N$2+$O$2,IFERROR(INDEX(PROFORMA!$A:$K,ROW()-1-$L$2-$M$2-$N$2+1,7),""),"")))))</f>
        <v/>
      </c>
      <c r="H709" s="3" t="str">
        <f>IF(ROW()-1&lt;=0,"",IF(ROW()-1&lt;=$L$2,IFERROR(INDEX(MCQ!$A:$K,ROW()-1+1,8),""),IF(ROW()-1&lt;=$L$2+$M$2,IFERROR(INDEX(CLOZE_AB!$A:$K,ROW()-1-$L$2+1,8),""),IF(ROW()-1&lt;=$L$2+$M$2+$N$2,IFERROR(INDEX(CLOZE_LIST!$A:$K,ROW()-1-$L$2-$M$2+1,8),""),IF(ROW()-1&lt;=$L$2+$M$2+$N$2+$O$2,IFERROR(INDEX(PROFORMA!$A:$K,ROW()-1-$L$2-$M$2-$N$2+1,8),""),"")))))</f>
        <v/>
      </c>
      <c r="I709" s="3" t="str">
        <f>IF(ROW()-1&lt;=0,"",IF(ROW()-1&lt;=$L$2,IFERROR(INDEX(MCQ!$A:$K,ROW()-1+1,9),""),IF(ROW()-1&lt;=$L$2+$M$2,IFERROR(INDEX(CLOZE_AB!$A:$K,ROW()-1-$L$2+1,9),""),IF(ROW()-1&lt;=$L$2+$M$2+$N$2,IFERROR(INDEX(CLOZE_LIST!$A:$K,ROW()-1-$L$2-$M$2+1,9),""),IF(ROW()-1&lt;=$L$2+$M$2+$N$2+$O$2,IFERROR(INDEX(PROFORMA!$A:$K,ROW()-1-$L$2-$M$2-$N$2+1,9),""),"")))))</f>
        <v/>
      </c>
      <c r="J709" s="3" t="str">
        <f>IF(ROW()-1&lt;=0,"",IF(ROW()-1&lt;=$L$2,IFERROR(INDEX(MCQ!$A:$K,ROW()-1+1,10),""),IF(ROW()-1&lt;=$L$2+$M$2,IFERROR(INDEX(CLOZE_AB!$A:$K,ROW()-1-$L$2+1,10),""),IF(ROW()-1&lt;=$L$2+$M$2+$N$2,IFERROR(INDEX(CLOZE_LIST!$A:$K,ROW()-1-$L$2-$M$2+1,10),""),IF(ROW()-1&lt;=$L$2+$M$2+$N$2+$O$2,IFERROR(INDEX(PROFORMA!$A:$K,ROW()-1-$L$2-$M$2-$N$2+1,10),""),"")))))</f>
        <v/>
      </c>
      <c r="K709" s="3" t="str">
        <f>IF(ROW()-1&lt;=0,"",IF(ROW()-1&lt;=$L$2,IFERROR(INDEX(MCQ!$A:$K,ROW()-1+1,11),""),IF(ROW()-1&lt;=$L$2+$M$2,IFERROR(INDEX(CLOZE_AB!$A:$K,ROW()-1-$L$2+1,11),""),IF(ROW()-1&lt;=$L$2+$M$2+$N$2,IFERROR(INDEX(CLOZE_LIST!$A:$K,ROW()-1-$L$2-$M$2+1,11),""),IF(ROW()-1&lt;=$L$2+$M$2+$N$2+$O$2,IFERROR(INDEX(PROFORMA!$A:$K,ROW()-1-$L$2-$M$2-$N$2+1,11),""),"")))))</f>
        <v/>
      </c>
      <c r="L709" s="3">
        <f>COUNTA(MCQ!$A:$A)-1</f>
        <v>122</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t="str">
        <f>IF(ROW()-1&lt;=0,"",IF(ROW()-1&lt;=$L$2,IFERROR(INDEX(MCQ!$A:$K,ROW()-1+1,2),""),IF(ROW()-1&lt;=$L$2+$M$2,IFERROR(INDEX(CLOZE_AB!$A:$K,ROW()-1-$L$2+1,2),""),IF(ROW()-1&lt;=$L$2+$M$2+$N$2,IFERROR(INDEX(CLOZE_LIST!$A:$K,ROW()-1-$L$2-$M$2+1,2),""),IF(ROW()-1&lt;=$L$2+$M$2+$N$2+$O$2,IFERROR(INDEX(PROFORMA!$A:$K,ROW()-1-$L$2-$M$2-$N$2+1,2),""),"")))))</f>
        <v/>
      </c>
      <c r="C710" s="3" t="str">
        <f>IF(ROW()-1&lt;=0,"",IF(ROW()-1&lt;=$L$2,IFERROR(INDEX(MCQ!$A:$K,ROW()-1+1,3),""),IF(ROW()-1&lt;=$L$2+$M$2,IFERROR(INDEX(CLOZE_AB!$A:$K,ROW()-1-$L$2+1,3),""),IF(ROW()-1&lt;=$L$2+$M$2+$N$2,IFERROR(INDEX(CLOZE_LIST!$A:$K,ROW()-1-$L$2-$M$2+1,3),""),IF(ROW()-1&lt;=$L$2+$M$2+$N$2+$O$2,IFERROR(INDEX(PROFORMA!$A:$K,ROW()-1-$L$2-$M$2-$N$2+1,3),""),"")))))</f>
        <v/>
      </c>
      <c r="D710" s="3" t="str">
        <f>IF(ROW()-1&lt;=0,"",IF(ROW()-1&lt;=$L$2,IFERROR(INDEX(MCQ!$A:$K,ROW()-1+1,4),""),IF(ROW()-1&lt;=$L$2+$M$2,IFERROR(INDEX(CLOZE_AB!$A:$K,ROW()-1-$L$2+1,4),""),IF(ROW()-1&lt;=$L$2+$M$2+$N$2,IFERROR(INDEX(CLOZE_LIST!$A:$K,ROW()-1-$L$2-$M$2+1,4),""),IF(ROW()-1&lt;=$L$2+$M$2+$N$2+$O$2,IFERROR(INDEX(PROFORMA!$A:$K,ROW()-1-$L$2-$M$2-$N$2+1,4),""),"")))))</f>
        <v/>
      </c>
      <c r="E710" s="3" t="str">
        <f>IF(ROW()-1&lt;=0,"",IF(ROW()-1&lt;=$L$2,IFERROR(INDEX(MCQ!$A:$K,ROW()-1+1,5),""),IF(ROW()-1&lt;=$L$2+$M$2,IFERROR(INDEX(CLOZE_AB!$A:$K,ROW()-1-$L$2+1,5),""),IF(ROW()-1&lt;=$L$2+$M$2+$N$2,IFERROR(INDEX(CLOZE_LIST!$A:$K,ROW()-1-$L$2-$M$2+1,5),""),IF(ROW()-1&lt;=$L$2+$M$2+$N$2+$O$2,IFERROR(INDEX(PROFORMA!$A:$K,ROW()-1-$L$2-$M$2-$N$2+1,5),""),"")))))</f>
        <v/>
      </c>
      <c r="F710" s="3" t="str">
        <f>IF(ROW()-1&lt;=0,"",IF(ROW()-1&lt;=$L$2,IFERROR(INDEX(MCQ!$A:$K,ROW()-1+1,6),""),IF(ROW()-1&lt;=$L$2+$M$2,IFERROR(INDEX(CLOZE_AB!$A:$K,ROW()-1-$L$2+1,6),""),IF(ROW()-1&lt;=$L$2+$M$2+$N$2,IFERROR(INDEX(CLOZE_LIST!$A:$K,ROW()-1-$L$2-$M$2+1,6),""),IF(ROW()-1&lt;=$L$2+$M$2+$N$2+$O$2,IFERROR(INDEX(PROFORMA!$A:$K,ROW()-1-$L$2-$M$2-$N$2+1,6),""),"")))))</f>
        <v/>
      </c>
      <c r="G710" s="3" t="str">
        <f>IF(ROW()-1&lt;=0,"",IF(ROW()-1&lt;=$L$2,IFERROR(INDEX(MCQ!$A:$K,ROW()-1+1,7),""),IF(ROW()-1&lt;=$L$2+$M$2,IFERROR(INDEX(CLOZE_AB!$A:$K,ROW()-1-$L$2+1,7),""),IF(ROW()-1&lt;=$L$2+$M$2+$N$2,IFERROR(INDEX(CLOZE_LIST!$A:$K,ROW()-1-$L$2-$M$2+1,7),""),IF(ROW()-1&lt;=$L$2+$M$2+$N$2+$O$2,IFERROR(INDEX(PROFORMA!$A:$K,ROW()-1-$L$2-$M$2-$N$2+1,7),""),"")))))</f>
        <v/>
      </c>
      <c r="H710" s="3" t="str">
        <f>IF(ROW()-1&lt;=0,"",IF(ROW()-1&lt;=$L$2,IFERROR(INDEX(MCQ!$A:$K,ROW()-1+1,8),""),IF(ROW()-1&lt;=$L$2+$M$2,IFERROR(INDEX(CLOZE_AB!$A:$K,ROW()-1-$L$2+1,8),""),IF(ROW()-1&lt;=$L$2+$M$2+$N$2,IFERROR(INDEX(CLOZE_LIST!$A:$K,ROW()-1-$L$2-$M$2+1,8),""),IF(ROW()-1&lt;=$L$2+$M$2+$N$2+$O$2,IFERROR(INDEX(PROFORMA!$A:$K,ROW()-1-$L$2-$M$2-$N$2+1,8),""),"")))))</f>
        <v/>
      </c>
      <c r="I710" s="3" t="str">
        <f>IF(ROW()-1&lt;=0,"",IF(ROW()-1&lt;=$L$2,IFERROR(INDEX(MCQ!$A:$K,ROW()-1+1,9),""),IF(ROW()-1&lt;=$L$2+$M$2,IFERROR(INDEX(CLOZE_AB!$A:$K,ROW()-1-$L$2+1,9),""),IF(ROW()-1&lt;=$L$2+$M$2+$N$2,IFERROR(INDEX(CLOZE_LIST!$A:$K,ROW()-1-$L$2-$M$2+1,9),""),IF(ROW()-1&lt;=$L$2+$M$2+$N$2+$O$2,IFERROR(INDEX(PROFORMA!$A:$K,ROW()-1-$L$2-$M$2-$N$2+1,9),""),"")))))</f>
        <v/>
      </c>
      <c r="J710" s="3" t="str">
        <f>IF(ROW()-1&lt;=0,"",IF(ROW()-1&lt;=$L$2,IFERROR(INDEX(MCQ!$A:$K,ROW()-1+1,10),""),IF(ROW()-1&lt;=$L$2+$M$2,IFERROR(INDEX(CLOZE_AB!$A:$K,ROW()-1-$L$2+1,10),""),IF(ROW()-1&lt;=$L$2+$M$2+$N$2,IFERROR(INDEX(CLOZE_LIST!$A:$K,ROW()-1-$L$2-$M$2+1,10),""),IF(ROW()-1&lt;=$L$2+$M$2+$N$2+$O$2,IFERROR(INDEX(PROFORMA!$A:$K,ROW()-1-$L$2-$M$2-$N$2+1,10),""),"")))))</f>
        <v/>
      </c>
      <c r="K710" s="3" t="str">
        <f>IF(ROW()-1&lt;=0,"",IF(ROW()-1&lt;=$L$2,IFERROR(INDEX(MCQ!$A:$K,ROW()-1+1,11),""),IF(ROW()-1&lt;=$L$2+$M$2,IFERROR(INDEX(CLOZE_AB!$A:$K,ROW()-1-$L$2+1,11),""),IF(ROW()-1&lt;=$L$2+$M$2+$N$2,IFERROR(INDEX(CLOZE_LIST!$A:$K,ROW()-1-$L$2-$M$2+1,11),""),IF(ROW()-1&lt;=$L$2+$M$2+$N$2+$O$2,IFERROR(INDEX(PROFORMA!$A:$K,ROW()-1-$L$2-$M$2-$N$2+1,11),""),"")))))</f>
        <v/>
      </c>
      <c r="L710" s="3">
        <f>COUNTA(MCQ!$A:$A)-1</f>
        <v>122</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122</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122</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122</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122</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122</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122</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122</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122</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122</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122</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122</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122</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122</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122</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122</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122</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122</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122</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122</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122</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122</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122</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122</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122</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122</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122</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122</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122</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122</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122</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122</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122</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122</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122</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122</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122</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122</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122</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122</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122</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122</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122</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122</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122</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122</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122</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122</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122</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122</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122</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122</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122</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122</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122</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122</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122</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122</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122</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122</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122</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122</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122</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122</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122</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122</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122</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122</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122</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122</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122</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122</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122</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122</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122</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122</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122</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122</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122</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122</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122</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122</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122</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122</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122</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122</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122</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122</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122</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122</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122</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122</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122</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122</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122</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122</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122</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122</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122</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122</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122</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122</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122</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122</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122</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122</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122</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122</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122</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122</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122</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122</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122</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122</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122</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122</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122</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122</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122</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122</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122</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122</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122</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122</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122</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122</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122</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122</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122</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122</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122</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122</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122</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122</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122</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122</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122</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122</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122</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122</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122</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122</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122</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122</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122</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122</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122</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122</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122</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122</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122</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122</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122</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122</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122</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122</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122</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122</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122</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122</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122</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122</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122</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122</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122</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122</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122</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122</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122</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122</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122</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122</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122</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122</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122</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122</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122</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122</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122</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122</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122</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122</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122</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122</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122</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122</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122</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122</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122</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122</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122</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122</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122</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122</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122</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122</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122</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122</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122</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122</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122</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122</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122</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122</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122</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122</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122</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122</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122</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122</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122</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122</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122</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122</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122</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122</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122</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122</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122</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122</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122</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122</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122</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122</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122</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122</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122</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122</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122</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122</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122</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122</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122</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122</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122</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122</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122</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122</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122</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122</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122</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122</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122</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122</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122</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122</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122</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122</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122</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122</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122</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122</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122</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122</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122</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122</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122</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122</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122</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122</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122</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122</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122</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122</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122</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122</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122</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122</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122</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122</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122</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122</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122</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122</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122</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122</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122</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122</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122</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122</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122</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122</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122</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122</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122</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122</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122</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122</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122</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122</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122</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122</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122</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122</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122</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122</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122</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122</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122</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122</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122</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122</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122</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122</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122</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122</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122</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122</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122</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122</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122</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122</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122</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122</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122</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122</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122</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122</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122</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122</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122</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122</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122</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122</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122</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122</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122</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122</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122</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122</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122</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122</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122</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122</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122</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122</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122</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122</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122</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122</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122</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122</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122</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122</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122</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122</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122</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122</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122</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122</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122</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122</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122</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122</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122</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122</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122</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122</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122</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122</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122</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122</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122</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122</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122</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122</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122</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122</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122</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122</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122</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122</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122</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122</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122</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122</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122</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122</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122</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122</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122</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122</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122</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122</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122</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122</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122</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122</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122</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122</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122</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122</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122</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122</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122</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122</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122</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122</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122</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122</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122</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122</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122</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122</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122</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122</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122</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122</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122</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122</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122</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122</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122</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122</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122</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122</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122</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122</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122</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122</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122</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122</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122</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122</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122</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122</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122</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122</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122</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122</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122</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122</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122</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122</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122</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122</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122</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122</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122</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122</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122</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122</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122</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122</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122</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122</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122</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122</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122</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122</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122</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122</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122</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122</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122</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122</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122</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122</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122</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122</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122</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122</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122</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122</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122</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122</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122</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122</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122</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122</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122</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122</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122</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122</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122</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122</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122</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122</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122</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122</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122</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122</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122</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122</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122</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122</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122</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122</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122</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122</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122</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122</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122</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122</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122</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122</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122</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122</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122</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122</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122</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122</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122</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122</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122</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122</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122</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122</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122</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122</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122</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122</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122</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122</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122</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122</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122</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122</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122</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122</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122</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122</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122</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122</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122</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122</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122</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122</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122</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122</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122</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122</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122</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122</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122</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122</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122</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122</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122</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122</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122</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122</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122</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122</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122</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122</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122</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122</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122</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122</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122</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122</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122</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122</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122</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122</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122</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122</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122</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122</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122</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122</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122</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122</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122</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122</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122</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122</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122</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122</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122</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122</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122</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122</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122</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122</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122</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122</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122</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122</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122</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122</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122</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122</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122</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122</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122</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122</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122</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122</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122</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122</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122</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122</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122</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122</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122</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122</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122</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122</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122</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122</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122</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122</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122</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122</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122</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122</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122</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122</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122</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122</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122</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122</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122</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122</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122</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122</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122</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122</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122</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122</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122</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122</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122</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122</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122</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122</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122</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122</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122</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122</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122</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122</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122</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122</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122</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122</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122</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122</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122</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122</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122</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122</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122</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122</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122</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122</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122</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122</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122</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122</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122</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122</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122</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122</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122</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122</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122</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122</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122</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122</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122</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122</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122</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122</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122</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122</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122</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122</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122</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122</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122</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122</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122</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122</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122</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122</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122</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122</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122</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122</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122</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122</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122</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122</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122</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122</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122</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122</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122</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122</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122</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122</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122</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122</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122</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122</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122</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122</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122</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122</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122</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122</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122</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122</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122</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122</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122</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122</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122</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122</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122</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122</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122</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122</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122</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122</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122</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122</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122</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122</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122</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122</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122</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122</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122</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122</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122</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122</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122</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122</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122</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122</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122</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122</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122</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122</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122</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122</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122</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122</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122</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122</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122</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122</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122</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122</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122</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122</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122</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122</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122</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122</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122</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122</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122</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122</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122</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122</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122</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122</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122</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122</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122</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122</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122</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122</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122</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122</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122</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122</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122</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122</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122</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122</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122</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122</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122</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122</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122</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122</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122</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122</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122</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122</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122</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122</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122</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122</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122</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122</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122</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122</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122</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122</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122</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122</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122</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122</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122</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122</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122</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122</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122</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122</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122</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122</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122</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122</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122</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122</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122</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122</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122</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122</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122</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122</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122</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122</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122</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122</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122</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122</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122</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122</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122</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122</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122</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122</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122</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122</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122</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122</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122</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122</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122</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122</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122</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122</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122</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122</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122</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122</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122</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122</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122</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122</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122</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122</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122</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122</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122</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122</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122</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122</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122</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122</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122</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122</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122</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122</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122</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122</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122</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122</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122</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122</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122</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122</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122</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122</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122</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122</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122</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122</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122</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122</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122</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122</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122</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122</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122</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122</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122</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122</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122</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122</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122</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122</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122</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122</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122</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122</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122</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122</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122</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122</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122</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122</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122</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122</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122</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122</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122</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122</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122</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122</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122</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122</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122</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122</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122</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122</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122</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122</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122</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122</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122</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122</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122</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122</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122</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122</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122</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122</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122</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122</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122</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122</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122</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122</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122</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122</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122</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122</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122</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122</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122</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122</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122</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122</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122</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122</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122</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122</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122</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122</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122</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122</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122</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122</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122</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122</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122</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122</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122</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122</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122</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122</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122</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122</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122</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122</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122</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122</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122</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122</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122</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122</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122</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122</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122</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122</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122</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122</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122</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122</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122</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122</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122</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122</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122</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122</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122</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122</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122</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122</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122</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122</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122</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122</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122</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122</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122</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122</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122</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122</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122</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122</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122</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122</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122</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122</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122</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122</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122</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122</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122</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122</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122</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122</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122</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122</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122</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122</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122</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122</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122</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122</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122</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122</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122</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122</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122</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122</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122</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122</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122</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122</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122</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122</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122</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122</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122</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122</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122</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122</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122</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122</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122</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122</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122</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122</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122</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122</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122</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122</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122</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122</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122</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122</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122</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122</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122</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122</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122</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122</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122</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122</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122</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122</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122</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122</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122</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122</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122</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122</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122</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122</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122</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122</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122</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122</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122</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122</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122</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122</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122</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122</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122</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122</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122</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122</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122</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122</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122</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122</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122</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122</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122</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122</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122</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122</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122</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122</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122</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122</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122</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122</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122</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122</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122</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122</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122</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122</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122</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122</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122</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122</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122</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122</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122</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122</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122</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122</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122</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122</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122</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122</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122</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122</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122</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122</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122</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122</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122</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122</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122</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122</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122</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122</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122</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122</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122</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122</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122</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122</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122</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122</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122</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122</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122</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122</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122</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122</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122</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122</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122</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122</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122</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122</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122</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122</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122</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122</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122</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122</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122</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122</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122</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122</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122</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122</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122</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122</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122</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122</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122</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122</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122</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122</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122</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122</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122</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122</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122</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122</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122</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122</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122</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122</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122</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122</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122</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122</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122</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122</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122</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122</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122</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122</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122</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122</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122</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122</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122</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122</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122</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122</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122</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122</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122</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122</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122</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122</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122</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122</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122</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122</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122</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122</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122</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122</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122</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122</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122</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122</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122</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122</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122</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122</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122</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122</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122</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122</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122</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122</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122</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122</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122</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122</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122</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122</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122</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122</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122</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122</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122</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122</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122</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122</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122</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122</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122</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122</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122</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122</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122</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122</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122</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122</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122</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122</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122</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122</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122</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122</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122</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122</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122</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122</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122</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122</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122</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122</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122</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122</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122</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122</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122</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122</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122</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122</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122</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122</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122</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122</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122</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122</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122</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122</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122</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122</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122</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122</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122</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122</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122</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122</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122</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6"/>
  <sheetViews>
    <sheetView topLeftCell="C1" workbookViewId="0">
      <selection activeCell="C1" sqref="A1:XFD10"/>
    </sheetView>
  </sheetViews>
  <sheetFormatPr defaultRowHeight="25.2" customHeight="1" x14ac:dyDescent="0.3"/>
  <cols>
    <col min="1" max="3" width="8.88671875" style="6"/>
    <col min="4" max="4" width="45.44140625" style="6" customWidth="1"/>
    <col min="5" max="11" width="8.88671875" style="6"/>
    <col min="12" max="12" width="16.5546875" style="6" customWidth="1"/>
    <col min="13" max="16384" width="8.88671875" style="6"/>
  </cols>
  <sheetData>
    <row r="1" spans="1:33" ht="25.2" customHeight="1" x14ac:dyDescent="0.3">
      <c r="D1" s="6" t="s">
        <v>1128</v>
      </c>
      <c r="E1" s="6" t="s">
        <v>31</v>
      </c>
      <c r="F1" s="6">
        <v>3</v>
      </c>
      <c r="G1" s="6" t="s">
        <v>16</v>
      </c>
      <c r="H1" s="6" t="s">
        <v>17</v>
      </c>
      <c r="I1" s="6" t="s">
        <v>1129</v>
      </c>
      <c r="J1" s="6" t="s">
        <v>870</v>
      </c>
      <c r="K1" s="6">
        <v>1</v>
      </c>
      <c r="L1" s="6" t="s">
        <v>1130</v>
      </c>
      <c r="O1" s="6" t="s">
        <v>1131</v>
      </c>
      <c r="P1" s="6">
        <v>2</v>
      </c>
      <c r="Q1" s="6" t="s">
        <v>147</v>
      </c>
      <c r="R1" s="6">
        <v>1</v>
      </c>
      <c r="S1" s="6" t="s">
        <v>17</v>
      </c>
      <c r="T1" s="6" t="s">
        <v>148</v>
      </c>
      <c r="U1" s="6">
        <v>3</v>
      </c>
      <c r="V1" s="6" t="s">
        <v>17</v>
      </c>
      <c r="AF1" s="6" t="s">
        <v>17</v>
      </c>
      <c r="AG1" s="6" t="s">
        <v>1132</v>
      </c>
    </row>
    <row r="2" spans="1:33" ht="25.2" customHeight="1" x14ac:dyDescent="0.3">
      <c r="D2" s="6" t="s">
        <v>1128</v>
      </c>
      <c r="E2" s="6" t="s">
        <v>31</v>
      </c>
      <c r="F2" s="6">
        <v>3</v>
      </c>
      <c r="G2" s="6" t="s">
        <v>16</v>
      </c>
      <c r="H2" s="6" t="s">
        <v>17</v>
      </c>
      <c r="I2" s="6" t="s">
        <v>1133</v>
      </c>
      <c r="J2" s="6" t="s">
        <v>870</v>
      </c>
      <c r="K2" s="6">
        <v>1</v>
      </c>
      <c r="L2" s="6" t="s">
        <v>1130</v>
      </c>
      <c r="O2" s="6" t="s">
        <v>1134</v>
      </c>
      <c r="P2" s="6">
        <v>3</v>
      </c>
      <c r="Q2" s="10" t="s">
        <v>1135</v>
      </c>
      <c r="R2" s="10" t="s">
        <v>1136</v>
      </c>
      <c r="S2" s="6" t="s">
        <v>17</v>
      </c>
      <c r="T2" s="6" t="s">
        <v>1137</v>
      </c>
      <c r="U2" s="11" t="s">
        <v>1138</v>
      </c>
      <c r="V2" s="6" t="s">
        <v>17</v>
      </c>
      <c r="W2" s="6" t="s">
        <v>1139</v>
      </c>
      <c r="X2" s="10" t="s">
        <v>1140</v>
      </c>
      <c r="Y2" s="6" t="s">
        <v>17</v>
      </c>
      <c r="AA2" s="11"/>
      <c r="AF2" s="6" t="s">
        <v>17</v>
      </c>
      <c r="AG2" s="6" t="s">
        <v>1141</v>
      </c>
    </row>
    <row r="3" spans="1:33" ht="25.2" customHeight="1" x14ac:dyDescent="0.3">
      <c r="D3" s="6" t="s">
        <v>1128</v>
      </c>
      <c r="E3" s="6" t="s">
        <v>31</v>
      </c>
      <c r="F3" s="6">
        <v>3</v>
      </c>
      <c r="G3" s="6" t="s">
        <v>16</v>
      </c>
      <c r="H3" s="6" t="s">
        <v>17</v>
      </c>
      <c r="I3" s="6" t="s">
        <v>1142</v>
      </c>
      <c r="J3" s="6" t="s">
        <v>870</v>
      </c>
      <c r="K3" s="6">
        <v>1</v>
      </c>
      <c r="L3" s="6" t="s">
        <v>1130</v>
      </c>
      <c r="O3" s="6" t="s">
        <v>1143</v>
      </c>
      <c r="P3" s="6">
        <v>3</v>
      </c>
      <c r="Q3" s="11" t="s">
        <v>1144</v>
      </c>
      <c r="R3" s="6" t="s">
        <v>1124</v>
      </c>
      <c r="S3" s="6" t="s">
        <v>17</v>
      </c>
      <c r="T3" s="6" t="s">
        <v>1145</v>
      </c>
      <c r="U3" s="6" t="s">
        <v>1146</v>
      </c>
      <c r="V3" s="6" t="s">
        <v>17</v>
      </c>
      <c r="W3" s="6" t="s">
        <v>1147</v>
      </c>
      <c r="X3" s="6" t="s">
        <v>1148</v>
      </c>
      <c r="Y3" s="6" t="s">
        <v>17</v>
      </c>
      <c r="AF3" s="6" t="s">
        <v>17</v>
      </c>
      <c r="AG3" s="6" t="s">
        <v>1149</v>
      </c>
    </row>
    <row r="4" spans="1:33" ht="25.2" customHeight="1" x14ac:dyDescent="0.3">
      <c r="D4" s="6" t="s">
        <v>1150</v>
      </c>
      <c r="E4" s="6" t="s">
        <v>31</v>
      </c>
      <c r="F4" s="6">
        <v>3</v>
      </c>
      <c r="G4" s="6" t="s">
        <v>16</v>
      </c>
      <c r="H4" s="6" t="s">
        <v>17</v>
      </c>
      <c r="I4" s="6" t="s">
        <v>1151</v>
      </c>
      <c r="J4" s="6" t="s">
        <v>870</v>
      </c>
      <c r="K4" s="6">
        <v>1</v>
      </c>
      <c r="L4" s="6" t="s">
        <v>1152</v>
      </c>
      <c r="O4" s="6" t="s">
        <v>1153</v>
      </c>
      <c r="P4" s="6">
        <v>2</v>
      </c>
      <c r="Q4" s="6" t="s">
        <v>1154</v>
      </c>
      <c r="R4" s="6" t="s">
        <v>1155</v>
      </c>
      <c r="S4" s="6" t="s">
        <v>17</v>
      </c>
      <c r="T4" s="6" t="s">
        <v>1156</v>
      </c>
      <c r="U4" s="6" t="s">
        <v>1157</v>
      </c>
      <c r="V4" s="6" t="s">
        <v>17</v>
      </c>
      <c r="AF4" s="6" t="s">
        <v>17</v>
      </c>
      <c r="AG4" s="6" t="s">
        <v>1158</v>
      </c>
    </row>
    <row r="5" spans="1:33" ht="25.2" customHeight="1" x14ac:dyDescent="0.3">
      <c r="D5" s="6" t="s">
        <v>1128</v>
      </c>
      <c r="E5" s="6" t="s">
        <v>31</v>
      </c>
      <c r="F5" s="6">
        <v>3</v>
      </c>
      <c r="G5" s="6" t="s">
        <v>16</v>
      </c>
      <c r="H5" s="6" t="s">
        <v>17</v>
      </c>
      <c r="I5" s="6" t="s">
        <v>1159</v>
      </c>
      <c r="J5" s="6" t="s">
        <v>870</v>
      </c>
      <c r="K5" s="6">
        <v>1</v>
      </c>
      <c r="L5" s="6" t="s">
        <v>1130</v>
      </c>
      <c r="O5" s="6" t="s">
        <v>1160</v>
      </c>
      <c r="P5" s="6">
        <v>2</v>
      </c>
      <c r="Q5" s="10" t="s">
        <v>1161</v>
      </c>
      <c r="R5" s="11" t="s">
        <v>1162</v>
      </c>
      <c r="S5" s="10" t="s">
        <v>17</v>
      </c>
      <c r="T5" s="6" t="s">
        <v>1163</v>
      </c>
      <c r="U5" s="6" t="s">
        <v>1164</v>
      </c>
      <c r="V5" s="6" t="s">
        <v>17</v>
      </c>
      <c r="AF5" s="6" t="s">
        <v>17</v>
      </c>
      <c r="AG5" s="6" t="s">
        <v>1165</v>
      </c>
    </row>
    <row r="6" spans="1:33" ht="25.2" customHeight="1" x14ac:dyDescent="0.3">
      <c r="D6" s="6" t="s">
        <v>1166</v>
      </c>
      <c r="E6" s="6" t="s">
        <v>31</v>
      </c>
      <c r="F6" s="6">
        <v>3</v>
      </c>
      <c r="G6" s="6" t="s">
        <v>16</v>
      </c>
      <c r="H6" s="6" t="s">
        <v>17</v>
      </c>
      <c r="I6" s="6" t="s">
        <v>1167</v>
      </c>
      <c r="J6" s="6" t="s">
        <v>870</v>
      </c>
      <c r="K6" s="6">
        <v>1</v>
      </c>
      <c r="L6" s="6" t="s">
        <v>1168</v>
      </c>
      <c r="O6" s="6" t="s">
        <v>1169</v>
      </c>
      <c r="P6" s="6">
        <v>1</v>
      </c>
      <c r="Q6" s="6" t="s">
        <v>1170</v>
      </c>
      <c r="R6" s="6" t="s">
        <v>348</v>
      </c>
      <c r="S6" s="6" t="s">
        <v>17</v>
      </c>
      <c r="AF6" s="6" t="s">
        <v>17</v>
      </c>
      <c r="AG6" s="6" t="s">
        <v>1171</v>
      </c>
    </row>
    <row r="7" spans="1:33" ht="25.2" customHeight="1" x14ac:dyDescent="0.3">
      <c r="D7" s="6" t="s">
        <v>1166</v>
      </c>
      <c r="E7" s="6" t="s">
        <v>31</v>
      </c>
      <c r="F7" s="6">
        <v>3</v>
      </c>
      <c r="G7" s="6" t="s">
        <v>16</v>
      </c>
      <c r="H7" s="6" t="s">
        <v>17</v>
      </c>
      <c r="I7" s="6" t="s">
        <v>1172</v>
      </c>
      <c r="J7" s="6" t="s">
        <v>870</v>
      </c>
      <c r="K7" s="6">
        <v>1</v>
      </c>
      <c r="L7" s="6" t="s">
        <v>1168</v>
      </c>
      <c r="O7" s="6" t="s">
        <v>1173</v>
      </c>
      <c r="P7" s="6">
        <v>3</v>
      </c>
      <c r="Q7" s="6" t="s">
        <v>1174</v>
      </c>
      <c r="R7" s="11">
        <v>0.5</v>
      </c>
      <c r="S7" s="6" t="s">
        <v>17</v>
      </c>
      <c r="T7" s="6" t="s">
        <v>1175</v>
      </c>
      <c r="U7" s="6" t="s">
        <v>1138</v>
      </c>
      <c r="V7" s="6" t="s">
        <v>17</v>
      </c>
      <c r="W7" s="6" t="s">
        <v>1176</v>
      </c>
      <c r="X7" s="6" t="s">
        <v>1177</v>
      </c>
      <c r="Y7" s="6" t="s">
        <v>17</v>
      </c>
      <c r="AF7" s="6" t="s">
        <v>17</v>
      </c>
      <c r="AG7" s="6" t="s">
        <v>1178</v>
      </c>
    </row>
    <row r="8" spans="1:33" ht="25.2" customHeight="1" x14ac:dyDescent="0.3">
      <c r="D8" s="6" t="s">
        <v>1166</v>
      </c>
      <c r="E8" s="6" t="s">
        <v>31</v>
      </c>
      <c r="F8" s="6">
        <v>3</v>
      </c>
      <c r="G8" s="6" t="s">
        <v>16</v>
      </c>
      <c r="H8" s="6" t="s">
        <v>17</v>
      </c>
      <c r="I8" s="6" t="s">
        <v>1179</v>
      </c>
      <c r="J8" s="6" t="s">
        <v>870</v>
      </c>
      <c r="K8" s="6">
        <v>1</v>
      </c>
      <c r="L8" s="6" t="s">
        <v>1168</v>
      </c>
      <c r="O8" s="6" t="s">
        <v>1180</v>
      </c>
      <c r="P8" s="6">
        <v>2</v>
      </c>
      <c r="Q8" s="11" t="s">
        <v>1181</v>
      </c>
      <c r="R8" s="6" t="s">
        <v>1182</v>
      </c>
      <c r="S8" s="6" t="s">
        <v>17</v>
      </c>
      <c r="T8" s="6" t="s">
        <v>1183</v>
      </c>
      <c r="U8" s="6" t="s">
        <v>1184</v>
      </c>
      <c r="V8" s="6" t="s">
        <v>17</v>
      </c>
      <c r="AF8" s="6" t="s">
        <v>17</v>
      </c>
      <c r="AG8" s="6" t="s">
        <v>1185</v>
      </c>
    </row>
    <row r="9" spans="1:33" ht="25.2" customHeight="1" x14ac:dyDescent="0.3">
      <c r="D9" s="6" t="s">
        <v>1150</v>
      </c>
      <c r="E9" s="6" t="s">
        <v>31</v>
      </c>
      <c r="F9" s="6">
        <v>3</v>
      </c>
      <c r="G9" s="6" t="s">
        <v>16</v>
      </c>
      <c r="H9" s="6" t="s">
        <v>17</v>
      </c>
      <c r="I9" s="6" t="s">
        <v>1186</v>
      </c>
      <c r="J9" s="6" t="s">
        <v>870</v>
      </c>
      <c r="K9" s="6">
        <v>1</v>
      </c>
      <c r="L9" s="6" t="s">
        <v>1152</v>
      </c>
      <c r="O9" s="6" t="s">
        <v>1187</v>
      </c>
      <c r="P9" s="6">
        <v>2</v>
      </c>
      <c r="Q9" s="11" t="s">
        <v>1188</v>
      </c>
      <c r="R9" s="6" t="s">
        <v>1155</v>
      </c>
      <c r="S9" s="6" t="s">
        <v>17</v>
      </c>
      <c r="T9" s="11" t="s">
        <v>1189</v>
      </c>
      <c r="U9" s="6" t="s">
        <v>1157</v>
      </c>
      <c r="V9" s="6" t="s">
        <v>17</v>
      </c>
      <c r="AF9" s="6" t="s">
        <v>17</v>
      </c>
      <c r="AG9" s="6" t="s">
        <v>1190</v>
      </c>
    </row>
    <row r="10" spans="1:33" ht="25.2" customHeight="1" x14ac:dyDescent="0.3">
      <c r="D10" s="6" t="s">
        <v>1166</v>
      </c>
      <c r="E10" s="6" t="s">
        <v>31</v>
      </c>
      <c r="F10" s="6">
        <v>3</v>
      </c>
      <c r="G10" s="6" t="s">
        <v>16</v>
      </c>
      <c r="H10" s="6" t="s">
        <v>17</v>
      </c>
      <c r="I10" s="6" t="s">
        <v>1191</v>
      </c>
      <c r="J10" s="6" t="s">
        <v>870</v>
      </c>
      <c r="K10" s="6">
        <v>1</v>
      </c>
      <c r="L10" s="6" t="s">
        <v>1168</v>
      </c>
      <c r="O10" s="6" t="s">
        <v>1192</v>
      </c>
      <c r="P10" s="6">
        <v>2</v>
      </c>
      <c r="Q10" s="6" t="s">
        <v>1193</v>
      </c>
      <c r="R10" s="6">
        <v>3</v>
      </c>
      <c r="S10" s="6" t="s">
        <v>17</v>
      </c>
      <c r="T10" s="6" t="s">
        <v>1194</v>
      </c>
      <c r="U10" s="6" t="s">
        <v>1195</v>
      </c>
      <c r="V10" s="6" t="s">
        <v>17</v>
      </c>
      <c r="AF10" s="6" t="s">
        <v>17</v>
      </c>
      <c r="AG10" s="6" t="s">
        <v>1196</v>
      </c>
    </row>
    <row r="11" spans="1:33" ht="25.2" customHeight="1" x14ac:dyDescent="0.3">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3" spans="1:33" ht="25.2" customHeight="1" x14ac:dyDescent="0.3">
      <c r="R13" s="11"/>
    </row>
    <row r="14" spans="1:33" ht="25.2" customHeight="1" x14ac:dyDescent="0.3">
      <c r="R14" s="11"/>
    </row>
    <row r="16" spans="1:33" ht="25.2" customHeight="1" x14ac:dyDescent="0.3">
      <c r="R16" s="10"/>
    </row>
    <row r="25" spans="17:18" ht="25.2" customHeight="1" x14ac:dyDescent="0.3">
      <c r="Q25" s="10"/>
    </row>
    <row r="26" spans="17:18" ht="25.2" customHeight="1" x14ac:dyDescent="0.3">
      <c r="Q26" s="11"/>
      <c r="R26" s="10"/>
    </row>
  </sheetData>
  <dataValidations count="1">
    <dataValidation type="whole" allowBlank="1" sqref="F11" xr:uid="{79174AE4-73F7-4031-A58D-0BBA0D241CCA}">
      <formula1>1</formula1>
      <formula2>5</formula2>
    </dataValidation>
  </dataValidations>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5">
        <x14:dataValidation type="list" allowBlank="1" xr:uid="{F304F0A3-98FE-4F43-94B2-8E7EAFD99FCE}">
          <x14:formula1>
            <xm:f>LOOKUPS!$C$2:$C$10</xm:f>
          </x14:formula1>
          <xm:sqref>C11</xm:sqref>
        </x14:dataValidation>
        <x14:dataValidation type="list" allowBlank="1" xr:uid="{185FE2A9-1563-4551-9212-B1D3595DAE5A}">
          <x14:formula1>
            <xm:f>LOOKUPS!$E$2:$E$4</xm:f>
          </x14:formula1>
          <xm:sqref>G11</xm:sqref>
        </x14:dataValidation>
        <x14:dataValidation type="list" allowBlank="1" showDropDown="1" xr:uid="{01E02AA7-4B79-4D18-B698-80DB7AAF1577}">
          <x14:formula1>
            <xm:f>LOOKUPS!$I$2:$I$5</xm:f>
          </x14:formula1>
          <xm:sqref>E11</xm:sqref>
        </x14:dataValidation>
        <x14:dataValidation type="list" allowBlank="1" showDropDown="1" xr:uid="{A843C7BE-6378-4EF0-91C0-E5A712D8487A}">
          <x14:formula1>
            <xm:f>LOOKUPS!$G$2:$G$3</xm:f>
          </x14:formula1>
          <xm:sqref>H11</xm:sqref>
        </x14:dataValidation>
        <x14:dataValidation type="list" allowBlank="1" xr:uid="{DD14BA10-3CBB-4247-98F4-84A8D924613F}">
          <x14:formula1>
            <xm:f>LOOKUPS!$A$2:$A$10</xm:f>
          </x14:formula1>
          <xm:sqref>B11</xm:sqref>
        </x14:dataValidation>
      </x14:dataValidations>
    </ext>
  </extLst>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2026-02-27T16:18:13Z</dcterms:modified>
</cp:coreProperties>
</file>